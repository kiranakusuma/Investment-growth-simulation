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richPivotRecords1.xml" ContentType="application/vnd.openxmlformats-officedocument.spreadsheetml.richPivot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mc:AlternateContent xmlns:mc="http://schemas.openxmlformats.org/markup-compatibility/2006">
    <mc:Choice Requires="x15">
      <x15ac:absPath xmlns:x15ac="http://schemas.microsoft.com/office/spreadsheetml/2010/11/ac" url="/Users/kirana/Downloads/"/>
    </mc:Choice>
  </mc:AlternateContent>
  <xr:revisionPtr revIDLastSave="0" documentId="8_{B1036834-C5F3-114A-B125-D4207B654C54}" xr6:coauthVersionLast="47" xr6:coauthVersionMax="47" xr10:uidLastSave="{00000000-0000-0000-0000-000000000000}"/>
  <bookViews>
    <workbookView xWindow="0" yWindow="480" windowWidth="28800" windowHeight="17520" activeTab="3" xr2:uid="{6B541392-D2A6-3E40-A018-2EF2E8C34270}"/>
  </bookViews>
  <sheets>
    <sheet name="Dashboard" sheetId="5" r:id="rId1"/>
    <sheet name="Transaction Log" sheetId="1" r:id="rId2"/>
    <sheet name="Simulation" sheetId="3" r:id="rId3"/>
    <sheet name="Database " sheetId="2" r:id="rId4"/>
  </sheets>
  <definedNames>
    <definedName name="Action">'Transaction Log'!$D$2:$D$159</definedName>
    <definedName name="Amount">'Transaction Log'!$J$2:$J$159</definedName>
    <definedName name="broker_fee">'Transaction Log'!$P$2</definedName>
    <definedName name="Cashflow">'Transaction Log'!$M$2:$M$159</definedName>
    <definedName name="Date">'Transaction Log'!$A$2:$A$159</definedName>
    <definedName name="Dividend_per_Share">'Transaction Log'!$I$2:$I$159</definedName>
    <definedName name="exchange_fee">'Transaction Log'!$P$1</definedName>
    <definedName name="Lot">'Transaction Log'!$E$2:$E$159</definedName>
    <definedName name="Net_Amount">'Transaction Log'!$L$2:$L$159</definedName>
    <definedName name="Position_Change">'Transaction Log'!$F$2:$F$159</definedName>
    <definedName name="Price">'Transaction Log'!$G$2:$G$159</definedName>
    <definedName name="Slicer_Growth_Percentage">#N/A</definedName>
    <definedName name="Slicer_Stock_Ticker">#N/A</definedName>
    <definedName name="Stock_Tickers">'Transaction Log'!$C$2:$C$159</definedName>
    <definedName name="Total_Fee">'Transaction Log'!$K$2:$K$159</definedName>
    <definedName name="Transaction_ID">'Transaction Log'!$B$2:$B$159</definedName>
  </definedNames>
  <calcPr calcId="191029"/>
  <pivotCaches>
    <pivotCache cacheId="6" r:id="rId5"/>
    <pivotCache cacheId="22"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2" l="1"/>
  <c r="E21" i="2" a="1"/>
  <c r="E21" i="2" s="1"/>
  <c r="E11" i="2" a="1"/>
  <c r="E11" i="2" s="1"/>
  <c r="E12" i="2" a="1"/>
  <c r="E12" i="2" s="1"/>
  <c r="E13" i="2" a="1"/>
  <c r="E13" i="2" s="1"/>
  <c r="E14" i="2" a="1"/>
  <c r="E14" i="2" s="1"/>
  <c r="E15" i="2" a="1"/>
  <c r="E15" i="2" s="1"/>
  <c r="E16" i="2" a="1"/>
  <c r="E16" i="2" s="1"/>
  <c r="E17" i="2" a="1"/>
  <c r="E17" i="2" s="1"/>
  <c r="E18" i="2" a="1"/>
  <c r="E18" i="2" s="1"/>
  <c r="E19" i="2" a="1"/>
  <c r="E19" i="2" s="1"/>
  <c r="E20" i="2" a="1"/>
  <c r="E20" i="2" s="1"/>
  <c r="E22" i="2" a="1"/>
  <c r="E22" i="2" s="1"/>
  <c r="A11" i="2" a="1"/>
  <c r="H145" i="1" a="1"/>
  <c r="H145" i="1" s="1"/>
  <c r="H144" i="1" a="1"/>
  <c r="H144" i="1" s="1"/>
  <c r="H141" i="1" a="1"/>
  <c r="H141" i="1" s="1"/>
  <c r="H140" i="1" a="1"/>
  <c r="H140" i="1" s="1"/>
  <c r="H138" i="1" a="1"/>
  <c r="H138" i="1" s="1"/>
  <c r="H133" i="1" a="1"/>
  <c r="H133" i="1" s="1"/>
  <c r="H131" i="1" a="1"/>
  <c r="H131" i="1" s="1"/>
  <c r="H129" i="1" a="1"/>
  <c r="H129" i="1" s="1"/>
  <c r="H125" i="1" a="1"/>
  <c r="H125" i="1" s="1"/>
  <c r="H124" i="1" a="1"/>
  <c r="H124" i="1" s="1"/>
  <c r="H123" i="1" a="1"/>
  <c r="H123" i="1" s="1"/>
  <c r="H118" i="1" a="1"/>
  <c r="H118" i="1" s="1"/>
  <c r="H116" i="1" a="1"/>
  <c r="H116" i="1" s="1"/>
  <c r="H112" i="1" a="1"/>
  <c r="H112" i="1" s="1"/>
  <c r="H110" i="1" a="1"/>
  <c r="H110" i="1" s="1"/>
  <c r="H109" i="1" a="1"/>
  <c r="H109" i="1" s="1"/>
  <c r="H106" i="1" a="1"/>
  <c r="H106" i="1" s="1"/>
  <c r="H103" i="1" a="1"/>
  <c r="H103" i="1" s="1"/>
  <c r="H100" i="1" a="1"/>
  <c r="H100" i="1" s="1"/>
  <c r="H98" i="1" a="1"/>
  <c r="H98" i="1" s="1"/>
  <c r="H96" i="1" a="1"/>
  <c r="H96" i="1" s="1"/>
  <c r="H94" i="1" a="1"/>
  <c r="H94" i="1" s="1"/>
  <c r="H92" i="1" a="1"/>
  <c r="H92" i="1" s="1"/>
  <c r="H90" i="1" a="1"/>
  <c r="H90" i="1" s="1"/>
  <c r="H89" i="1" a="1"/>
  <c r="H89" i="1" s="1"/>
  <c r="H86" i="1" a="1"/>
  <c r="H86" i="1" s="1"/>
  <c r="H85" i="1" a="1"/>
  <c r="H85" i="1" s="1"/>
  <c r="H82" i="1" a="1"/>
  <c r="H82" i="1" s="1"/>
  <c r="H79" i="1" a="1"/>
  <c r="H79" i="1" s="1"/>
  <c r="H75" i="1" a="1"/>
  <c r="H75" i="1" s="1"/>
  <c r="H72" i="1" a="1"/>
  <c r="H72" i="1" s="1"/>
  <c r="H70" i="1" a="1"/>
  <c r="H70" i="1" s="1"/>
  <c r="H68" i="1" a="1"/>
  <c r="H68" i="1" s="1"/>
  <c r="H65" i="1" a="1"/>
  <c r="H65" i="1" s="1"/>
  <c r="H63" i="1" a="1"/>
  <c r="H63" i="1" s="1"/>
  <c r="H61" i="1" a="1"/>
  <c r="H61" i="1" s="1"/>
  <c r="H60" i="1" a="1"/>
  <c r="H60" i="1" s="1"/>
  <c r="H55" i="1" a="1"/>
  <c r="H55" i="1" s="1"/>
  <c r="H52" i="1" a="1"/>
  <c r="H52" i="1" s="1"/>
  <c r="H51" i="1" a="1"/>
  <c r="H51" i="1" s="1"/>
  <c r="H48" i="1" a="1"/>
  <c r="H48" i="1" s="1"/>
  <c r="H43" i="1" a="1"/>
  <c r="H43" i="1" s="1"/>
  <c r="H38" i="1" a="1"/>
  <c r="H38" i="1" s="1"/>
  <c r="H39" i="1" a="1"/>
  <c r="H39" i="1" s="1"/>
  <c r="H15" i="1" a="1"/>
  <c r="H15" i="1" s="1"/>
  <c r="H18" i="1" a="1"/>
  <c r="H18" i="1" s="1"/>
  <c r="H19" i="1" a="1"/>
  <c r="H19" i="1" s="1"/>
  <c r="H21" i="1" a="1"/>
  <c r="H21" i="1" s="1"/>
  <c r="H24" i="1" a="1"/>
  <c r="H24" i="1" s="1"/>
  <c r="H29" i="1" a="1"/>
  <c r="H29" i="1" s="1"/>
  <c r="H30" i="1" a="1"/>
  <c r="H30" i="1" s="1"/>
  <c r="H34" i="1" a="1"/>
  <c r="H34" i="1" s="1"/>
  <c r="H36" i="1" a="1"/>
  <c r="H36" i="1" s="1"/>
  <c r="H8" i="1" a="1"/>
  <c r="H8" i="1" s="1"/>
  <c r="H10" i="1" a="1"/>
  <c r="H10" i="1" s="1"/>
  <c r="H14" i="1" a="1"/>
  <c r="H14" i="1" s="1"/>
  <c r="H2" i="1" a="1"/>
  <c r="H2" i="1" s="1"/>
  <c r="F161" i="1" a="1"/>
  <c r="F161" i="1" s="1"/>
  <c r="F162" i="1" a="1"/>
  <c r="F162" i="1" s="1"/>
  <c r="F163" i="1" a="1"/>
  <c r="F163" i="1" s="1"/>
  <c r="F164" i="1" a="1"/>
  <c r="F164" i="1" s="1"/>
  <c r="H161" i="1" a="1"/>
  <c r="H161" i="1" s="1"/>
  <c r="H162" i="1" a="1"/>
  <c r="H162" i="1" s="1"/>
  <c r="H163" i="1" a="1"/>
  <c r="H163" i="1" s="1"/>
  <c r="H164" i="1" a="1"/>
  <c r="H164" i="1" s="1"/>
  <c r="J161" i="1"/>
  <c r="J162" i="1"/>
  <c r="J163" i="1"/>
  <c r="J164" i="1"/>
  <c r="K161" i="1"/>
  <c r="K162" i="1"/>
  <c r="K164" i="1"/>
  <c r="L161" i="1"/>
  <c r="M161" i="1" s="1"/>
  <c r="L162" i="1"/>
  <c r="M162" i="1" s="1"/>
  <c r="L164" i="1"/>
  <c r="M164" i="1" s="1"/>
  <c r="J148" i="1"/>
  <c r="K148" i="1" s="1"/>
  <c r="L148" i="1" s="1"/>
  <c r="M148" i="1" s="1"/>
  <c r="J149" i="1"/>
  <c r="K149" i="1" s="1"/>
  <c r="L149" i="1" s="1"/>
  <c r="M149" i="1" s="1"/>
  <c r="J150" i="1"/>
  <c r="K150" i="1" s="1"/>
  <c r="L150" i="1" s="1"/>
  <c r="M150" i="1" s="1"/>
  <c r="J151" i="1"/>
  <c r="K151" i="1" s="1"/>
  <c r="L151" i="1" s="1"/>
  <c r="M151" i="1" s="1"/>
  <c r="J152" i="1"/>
  <c r="K152" i="1" s="1"/>
  <c r="L152" i="1" s="1"/>
  <c r="M152" i="1" s="1"/>
  <c r="J153" i="1"/>
  <c r="K153" i="1" s="1"/>
  <c r="L153" i="1" s="1"/>
  <c r="M153" i="1" s="1"/>
  <c r="J154" i="1"/>
  <c r="K154" i="1" s="1"/>
  <c r="L154" i="1" s="1"/>
  <c r="M154" i="1" s="1"/>
  <c r="J155" i="1"/>
  <c r="K155" i="1" s="1"/>
  <c r="L155" i="1" s="1"/>
  <c r="M155" i="1" s="1"/>
  <c r="J156" i="1"/>
  <c r="K156" i="1" s="1"/>
  <c r="L156" i="1" s="1"/>
  <c r="M156" i="1" s="1"/>
  <c r="J157" i="1"/>
  <c r="K157" i="1" s="1"/>
  <c r="L157" i="1" s="1"/>
  <c r="M157" i="1" s="1"/>
  <c r="J158" i="1"/>
  <c r="J159" i="1"/>
  <c r="J160" i="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L52" i="1"/>
  <c r="M52" i="1" s="1"/>
  <c r="L61" i="1"/>
  <c r="M61" i="1" s="1"/>
  <c r="L70" i="1"/>
  <c r="M70" i="1" s="1"/>
  <c r="L82" i="1"/>
  <c r="M82" i="1" s="1"/>
  <c r="L94" i="1"/>
  <c r="M94" i="1" s="1"/>
  <c r="L98" i="1"/>
  <c r="M98" i="1" s="1"/>
  <c r="L118" i="1"/>
  <c r="M118" i="1" s="1"/>
  <c r="L141" i="1"/>
  <c r="M141" i="1" s="1"/>
  <c r="L29" i="1"/>
  <c r="M29" i="1" s="1"/>
  <c r="L34" i="1"/>
  <c r="M34" i="1" s="1"/>
  <c r="L38" i="1"/>
  <c r="M38" i="1" s="1"/>
  <c r="L43" i="1"/>
  <c r="M43" i="1" s="1"/>
  <c r="L10" i="1"/>
  <c r="M10" i="1" s="1"/>
  <c r="L15" i="1"/>
  <c r="M15" i="1" s="1"/>
  <c r="L2" i="1"/>
  <c r="M2" i="1" s="1"/>
  <c r="J143" i="1"/>
  <c r="J144" i="1"/>
  <c r="J145" i="1"/>
  <c r="J146" i="1"/>
  <c r="J147" i="1"/>
  <c r="J142" i="1"/>
  <c r="J140" i="1"/>
  <c r="J120" i="1"/>
  <c r="J121" i="1"/>
  <c r="K121" i="1" s="1"/>
  <c r="L121" i="1" s="1"/>
  <c r="M121" i="1" s="1"/>
  <c r="J122" i="1"/>
  <c r="J123" i="1"/>
  <c r="L123" i="1" s="1"/>
  <c r="M123" i="1" s="1"/>
  <c r="J124" i="1"/>
  <c r="K124" i="1" s="1"/>
  <c r="L124" i="1" s="1"/>
  <c r="M124" i="1" s="1"/>
  <c r="J125" i="1"/>
  <c r="L125" i="1" s="1"/>
  <c r="M125" i="1" s="1"/>
  <c r="J126" i="1"/>
  <c r="K126" i="1" s="1"/>
  <c r="L126" i="1" s="1"/>
  <c r="M126" i="1" s="1"/>
  <c r="J127" i="1"/>
  <c r="K127" i="1" s="1"/>
  <c r="L127" i="1" s="1"/>
  <c r="M127" i="1" s="1"/>
  <c r="J128" i="1"/>
  <c r="K128" i="1" s="1"/>
  <c r="L128" i="1" s="1"/>
  <c r="M128" i="1" s="1"/>
  <c r="J129" i="1"/>
  <c r="J130" i="1"/>
  <c r="J131" i="1"/>
  <c r="J132" i="1"/>
  <c r="J133" i="1"/>
  <c r="J134" i="1"/>
  <c r="J135" i="1"/>
  <c r="J136" i="1"/>
  <c r="J137" i="1"/>
  <c r="J138" i="1"/>
  <c r="J139" i="1"/>
  <c r="J119" i="1"/>
  <c r="K119" i="1" s="1"/>
  <c r="L119" i="1" s="1"/>
  <c r="M119" i="1" s="1"/>
  <c r="J112" i="1"/>
  <c r="K112" i="1" s="1"/>
  <c r="L112" i="1" s="1"/>
  <c r="M112" i="1" s="1"/>
  <c r="J113" i="1"/>
  <c r="K113" i="1" s="1"/>
  <c r="L113" i="1" s="1"/>
  <c r="M113" i="1" s="1"/>
  <c r="J114" i="1"/>
  <c r="J115" i="1"/>
  <c r="J116" i="1"/>
  <c r="L116" i="1" s="1"/>
  <c r="M116" i="1" s="1"/>
  <c r="J117" i="1"/>
  <c r="K117" i="1" s="1"/>
  <c r="L117" i="1" s="1"/>
  <c r="M117" i="1" s="1"/>
  <c r="J100" i="1"/>
  <c r="K100" i="1" s="1"/>
  <c r="L100" i="1" s="1"/>
  <c r="M100" i="1" s="1"/>
  <c r="J101" i="1"/>
  <c r="K101" i="1" s="1"/>
  <c r="L101" i="1" s="1"/>
  <c r="M101" i="1" s="1"/>
  <c r="J102" i="1"/>
  <c r="J103" i="1"/>
  <c r="L103" i="1" s="1"/>
  <c r="M103" i="1" s="1"/>
  <c r="J104" i="1"/>
  <c r="K104" i="1" s="1"/>
  <c r="L104" i="1" s="1"/>
  <c r="M104" i="1" s="1"/>
  <c r="J105" i="1"/>
  <c r="J106" i="1"/>
  <c r="K106" i="1" s="1"/>
  <c r="L106" i="1" s="1"/>
  <c r="M106" i="1" s="1"/>
  <c r="J107" i="1"/>
  <c r="K107" i="1" s="1"/>
  <c r="L107" i="1" s="1"/>
  <c r="M107" i="1" s="1"/>
  <c r="J108" i="1"/>
  <c r="K108" i="1" s="1"/>
  <c r="L108" i="1" s="1"/>
  <c r="M108" i="1" s="1"/>
  <c r="J109" i="1"/>
  <c r="L109" i="1" s="1"/>
  <c r="M109" i="1" s="1"/>
  <c r="J110" i="1"/>
  <c r="L110" i="1" s="1"/>
  <c r="M110" i="1" s="1"/>
  <c r="J111" i="1"/>
  <c r="K111" i="1" s="1"/>
  <c r="L111" i="1" s="1"/>
  <c r="M111" i="1" s="1"/>
  <c r="J99" i="1"/>
  <c r="J96" i="1"/>
  <c r="L96" i="1" s="1"/>
  <c r="M96" i="1" s="1"/>
  <c r="J97" i="1"/>
  <c r="K97" i="1" s="1"/>
  <c r="J95" i="1"/>
  <c r="J84" i="1"/>
  <c r="J85" i="1"/>
  <c r="J86" i="1"/>
  <c r="J87" i="1"/>
  <c r="J88" i="1"/>
  <c r="J89" i="1"/>
  <c r="L89" i="1" s="1"/>
  <c r="M89" i="1" s="1"/>
  <c r="J90" i="1"/>
  <c r="L90" i="1" s="1"/>
  <c r="M90" i="1" s="1"/>
  <c r="J91" i="1"/>
  <c r="J92" i="1"/>
  <c r="J93" i="1"/>
  <c r="J83" i="1"/>
  <c r="J72" i="1"/>
  <c r="L72" i="1" s="1"/>
  <c r="M72" i="1" s="1"/>
  <c r="J73" i="1"/>
  <c r="J74" i="1"/>
  <c r="J75" i="1"/>
  <c r="J76" i="1"/>
  <c r="J77" i="1"/>
  <c r="J78" i="1"/>
  <c r="J79" i="1"/>
  <c r="L79" i="1" s="1"/>
  <c r="M79" i="1" s="1"/>
  <c r="J80" i="1"/>
  <c r="J81" i="1"/>
  <c r="J71" i="1"/>
  <c r="K71" i="1" s="1"/>
  <c r="J63" i="1"/>
  <c r="L63" i="1" s="1"/>
  <c r="M63" i="1" s="1"/>
  <c r="J64" i="1"/>
  <c r="K64" i="1" s="1"/>
  <c r="J65" i="1"/>
  <c r="K65" i="1" s="1"/>
  <c r="L65" i="1" s="1"/>
  <c r="M65" i="1" s="1"/>
  <c r="J66" i="1"/>
  <c r="K66" i="1" s="1"/>
  <c r="J67" i="1"/>
  <c r="K67" i="1" s="1"/>
  <c r="L67" i="1" s="1"/>
  <c r="M67" i="1" s="1"/>
  <c r="J68" i="1"/>
  <c r="K68" i="1" s="1"/>
  <c r="J69" i="1"/>
  <c r="K69" i="1" s="1"/>
  <c r="L69" i="1" s="1"/>
  <c r="M69" i="1" s="1"/>
  <c r="J62" i="1"/>
  <c r="J54" i="1"/>
  <c r="J56" i="1"/>
  <c r="J57" i="1"/>
  <c r="K57" i="1" s="1"/>
  <c r="L57" i="1" s="1"/>
  <c r="M57" i="1" s="1"/>
  <c r="J58" i="1"/>
  <c r="K58" i="1" s="1"/>
  <c r="L58" i="1" s="1"/>
  <c r="M58" i="1" s="1"/>
  <c r="J59" i="1"/>
  <c r="K59" i="1" s="1"/>
  <c r="L59" i="1" s="1"/>
  <c r="M59" i="1" s="1"/>
  <c r="J60" i="1"/>
  <c r="K60" i="1" s="1"/>
  <c r="L60" i="1" s="1"/>
  <c r="M60" i="1" s="1"/>
  <c r="J53" i="1"/>
  <c r="K53" i="1" s="1"/>
  <c r="L53" i="1" s="1"/>
  <c r="M53" i="1" s="1"/>
  <c r="J45" i="1"/>
  <c r="J46" i="1"/>
  <c r="K46" i="1" s="1"/>
  <c r="L46" i="1" s="1"/>
  <c r="M46" i="1" s="1"/>
  <c r="J47" i="1"/>
  <c r="K47" i="1" s="1"/>
  <c r="L47" i="1" s="1"/>
  <c r="M47" i="1" s="1"/>
  <c r="J48" i="1"/>
  <c r="L48" i="1" s="1"/>
  <c r="M48" i="1" s="1"/>
  <c r="J49" i="1"/>
  <c r="K49" i="1" s="1"/>
  <c r="L49" i="1" s="1"/>
  <c r="M49" i="1" s="1"/>
  <c r="J50" i="1"/>
  <c r="K50" i="1" s="1"/>
  <c r="L50" i="1" s="1"/>
  <c r="M50" i="1" s="1"/>
  <c r="J51" i="1"/>
  <c r="K51" i="1" s="1"/>
  <c r="L51" i="1" s="1"/>
  <c r="M51" i="1" s="1"/>
  <c r="J44" i="1"/>
  <c r="J40" i="1"/>
  <c r="J41" i="1"/>
  <c r="J42" i="1"/>
  <c r="J39" i="1"/>
  <c r="L39" i="1" s="1"/>
  <c r="M39" i="1" s="1"/>
  <c r="J36" i="1"/>
  <c r="K36" i="1" s="1"/>
  <c r="L36" i="1" s="1"/>
  <c r="M36" i="1" s="1"/>
  <c r="J37" i="1"/>
  <c r="K37" i="1" s="1"/>
  <c r="L37" i="1" s="1"/>
  <c r="M37" i="1" s="1"/>
  <c r="J35" i="1"/>
  <c r="K35" i="1" s="1"/>
  <c r="L35" i="1" s="1"/>
  <c r="M35" i="1" s="1"/>
  <c r="J31" i="1"/>
  <c r="K31" i="1" s="1"/>
  <c r="L31" i="1" s="1"/>
  <c r="M31" i="1" s="1"/>
  <c r="J32" i="1"/>
  <c r="K32" i="1" s="1"/>
  <c r="L32" i="1" s="1"/>
  <c r="M32" i="1" s="1"/>
  <c r="J33" i="1"/>
  <c r="K33" i="1" s="1"/>
  <c r="L33" i="1" s="1"/>
  <c r="M33" i="1" s="1"/>
  <c r="J30" i="1"/>
  <c r="L30" i="1" s="1"/>
  <c r="M30" i="1" s="1"/>
  <c r="J28" i="1"/>
  <c r="J17" i="1"/>
  <c r="K17" i="1" s="1"/>
  <c r="L17" i="1" s="1"/>
  <c r="M17" i="1" s="1"/>
  <c r="J18" i="1"/>
  <c r="K18" i="1" s="1"/>
  <c r="L18" i="1" s="1"/>
  <c r="M18" i="1" s="1"/>
  <c r="J19" i="1"/>
  <c r="L19" i="1" s="1"/>
  <c r="M19" i="1" s="1"/>
  <c r="J20" i="1"/>
  <c r="J21" i="1"/>
  <c r="K21" i="1" s="1"/>
  <c r="L21" i="1" s="1"/>
  <c r="M21" i="1" s="1"/>
  <c r="J22" i="1"/>
  <c r="J23" i="1"/>
  <c r="K23" i="1" s="1"/>
  <c r="L23" i="1" s="1"/>
  <c r="M23" i="1" s="1"/>
  <c r="J24" i="1"/>
  <c r="L24" i="1" s="1"/>
  <c r="M24" i="1" s="1"/>
  <c r="J25" i="1"/>
  <c r="K25" i="1" s="1"/>
  <c r="J26" i="1"/>
  <c r="K26" i="1" s="1"/>
  <c r="J27" i="1"/>
  <c r="J16" i="1"/>
  <c r="J12" i="1"/>
  <c r="J13" i="1"/>
  <c r="J11" i="1"/>
  <c r="J4" i="1"/>
  <c r="J5" i="1"/>
  <c r="J6" i="1"/>
  <c r="J7" i="1"/>
  <c r="J8" i="1"/>
  <c r="L8" i="1" s="1"/>
  <c r="M8" i="1" s="1"/>
  <c r="J9" i="1"/>
  <c r="J3" i="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B133" i="1"/>
  <c r="B134" i="1"/>
  <c r="B135" i="1"/>
  <c r="B136" i="1"/>
  <c r="B137" i="1"/>
  <c r="B138" i="1"/>
  <c r="B139" i="1"/>
  <c r="B140" i="1"/>
  <c r="B141" i="1"/>
  <c r="B142" i="1"/>
  <c r="B143" i="1"/>
  <c r="B144" i="1"/>
  <c r="B145" i="1"/>
  <c r="B146" i="1"/>
  <c r="B147"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34" i="1"/>
  <c r="B35" i="1"/>
  <c r="B36" i="1"/>
  <c r="B37" i="1"/>
  <c r="B38" i="1"/>
  <c r="B39" i="1"/>
  <c r="B40" i="1"/>
  <c r="B41" i="1"/>
  <c r="B42" i="1"/>
  <c r="B43" i="1"/>
  <c r="B44" i="1"/>
  <c r="B45" i="1"/>
  <c r="B46" i="1"/>
  <c r="B47" i="1"/>
  <c r="B48" i="1"/>
  <c r="B49" i="1"/>
  <c r="B50"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2" i="1"/>
  <c r="B2"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26" i="3"/>
  <c r="B33" i="3"/>
  <c r="B32" i="3"/>
  <c r="B31" i="3"/>
  <c r="B30" i="3"/>
  <c r="B29" i="3"/>
  <c r="B28" i="3"/>
  <c r="B27" i="3"/>
  <c r="B25" i="3"/>
  <c r="B24" i="3"/>
  <c r="B23" i="3"/>
  <c r="B22" i="3"/>
  <c r="B21" i="3"/>
  <c r="B20" i="3"/>
  <c r="B19" i="3"/>
  <c r="B18" i="3"/>
  <c r="B17" i="3"/>
  <c r="B16" i="3"/>
  <c r="B15" i="3"/>
  <c r="B14" i="3"/>
  <c r="B13" i="3"/>
  <c r="B12" i="3"/>
  <c r="B11" i="3"/>
  <c r="B10" i="3"/>
  <c r="B3" i="3"/>
  <c r="B9" i="3"/>
  <c r="B8" i="3"/>
  <c r="B7" i="3"/>
  <c r="B6" i="3"/>
  <c r="B5" i="3"/>
  <c r="B4" i="3"/>
  <c r="J55" i="1" l="1"/>
  <c r="L55" i="1" s="1"/>
  <c r="M55" i="1" s="1"/>
  <c r="J14" i="1"/>
  <c r="L14" i="1" s="1"/>
  <c r="M14" i="1" s="1"/>
  <c r="B6" i="2"/>
  <c r="K163" i="1"/>
  <c r="L163" i="1"/>
  <c r="M163" i="1" s="1"/>
  <c r="A11" i="2"/>
  <c r="A92" i="3"/>
  <c r="A81" i="3"/>
  <c r="A74" i="3"/>
  <c r="A68" i="3"/>
  <c r="A70" i="3"/>
  <c r="A72" i="3"/>
  <c r="A66" i="3"/>
  <c r="A59" i="3"/>
  <c r="A61" i="3"/>
  <c r="A63" i="3"/>
  <c r="A65" i="3"/>
  <c r="A51" i="3"/>
  <c r="A53" i="3"/>
  <c r="A55" i="3"/>
  <c r="A57" i="3"/>
  <c r="A44" i="3"/>
  <c r="A46" i="3"/>
  <c r="A48" i="3"/>
  <c r="A42" i="3"/>
  <c r="A36" i="3"/>
  <c r="A38" i="3"/>
  <c r="A40" i="3"/>
  <c r="A34" i="3"/>
  <c r="A29" i="3"/>
  <c r="A30" i="3"/>
  <c r="A33" i="3"/>
  <c r="A19" i="3"/>
  <c r="A21" i="3"/>
  <c r="A23" i="3"/>
  <c r="A25" i="3"/>
  <c r="A11" i="3"/>
  <c r="A13" i="3"/>
  <c r="A15" i="3"/>
  <c r="A17" i="3"/>
  <c r="A91" i="3"/>
  <c r="A93" i="3"/>
  <c r="A94" i="3"/>
  <c r="A95" i="3"/>
  <c r="A96" i="3"/>
  <c r="A97" i="3"/>
  <c r="A90" i="3"/>
  <c r="A83" i="3"/>
  <c r="A84" i="3"/>
  <c r="A85" i="3"/>
  <c r="A86" i="3"/>
  <c r="A87" i="3"/>
  <c r="A88" i="3"/>
  <c r="A89" i="3"/>
  <c r="A82" i="3"/>
  <c r="A75" i="3"/>
  <c r="A76" i="3"/>
  <c r="A77" i="3"/>
  <c r="A78" i="3"/>
  <c r="A79" i="3"/>
  <c r="A80" i="3"/>
  <c r="A67" i="3"/>
  <c r="A69" i="3"/>
  <c r="A71" i="3"/>
  <c r="A73" i="3"/>
  <c r="A60" i="3"/>
  <c r="A62" i="3"/>
  <c r="A64" i="3"/>
  <c r="A58" i="3"/>
  <c r="A52" i="3"/>
  <c r="A54" i="3"/>
  <c r="A56" i="3"/>
  <c r="A50" i="3"/>
  <c r="A43" i="3"/>
  <c r="A45" i="3"/>
  <c r="A47" i="3"/>
  <c r="A49" i="3"/>
  <c r="A35" i="3"/>
  <c r="A37" i="3"/>
  <c r="A39" i="3"/>
  <c r="A41" i="3"/>
  <c r="A27" i="3"/>
  <c r="A28" i="3"/>
  <c r="A31" i="3"/>
  <c r="A32" i="3"/>
  <c r="A26" i="3"/>
  <c r="A20" i="3"/>
  <c r="A22" i="3"/>
  <c r="A24" i="3"/>
  <c r="A18" i="3"/>
  <c r="A12" i="3"/>
  <c r="A14" i="3"/>
  <c r="A16" i="3"/>
  <c r="A10" i="3"/>
  <c r="K158" i="1"/>
  <c r="L158" i="1" s="1"/>
  <c r="M158" i="1" s="1"/>
  <c r="K159" i="1"/>
  <c r="L159" i="1" s="1"/>
  <c r="M159" i="1" s="1"/>
  <c r="K160" i="1"/>
  <c r="L160" i="1" s="1"/>
  <c r="M160" i="1" s="1"/>
  <c r="L97" i="1"/>
  <c r="M97" i="1" s="1"/>
  <c r="L71" i="1"/>
  <c r="M71" i="1" s="1"/>
  <c r="L64" i="1"/>
  <c r="M64" i="1" s="1"/>
  <c r="L66" i="1"/>
  <c r="M66" i="1" s="1"/>
  <c r="L68" i="1"/>
  <c r="M68" i="1" s="1"/>
  <c r="L25" i="1"/>
  <c r="M25" i="1" s="1"/>
  <c r="L26" i="1"/>
  <c r="M26" i="1" s="1"/>
  <c r="K62" i="1"/>
  <c r="L62" i="1" s="1"/>
  <c r="M62" i="1" s="1"/>
  <c r="K54" i="1"/>
  <c r="L54" i="1" s="1"/>
  <c r="M54" i="1" s="1"/>
  <c r="K84" i="1"/>
  <c r="L84" i="1" s="1"/>
  <c r="M84" i="1" s="1"/>
  <c r="K85" i="1"/>
  <c r="L85" i="1" s="1"/>
  <c r="M85" i="1" s="1"/>
  <c r="K86" i="1"/>
  <c r="L86" i="1" s="1"/>
  <c r="M86" i="1" s="1"/>
  <c r="K91" i="1"/>
  <c r="L91" i="1" s="1"/>
  <c r="M91" i="1" s="1"/>
  <c r="K92" i="1"/>
  <c r="L92" i="1"/>
  <c r="M92" i="1" s="1"/>
  <c r="K93" i="1"/>
  <c r="L93" i="1" s="1"/>
  <c r="M93" i="1" s="1"/>
  <c r="K73" i="1"/>
  <c r="L73" i="1" s="1"/>
  <c r="M73" i="1" s="1"/>
  <c r="K75" i="1"/>
  <c r="K76" i="1"/>
  <c r="L76" i="1" s="1"/>
  <c r="M76" i="1" s="1"/>
  <c r="K81" i="1"/>
  <c r="L81" i="1"/>
  <c r="M81" i="1" s="1"/>
  <c r="K13" i="1"/>
  <c r="L13" i="1" s="1"/>
  <c r="M13" i="1" s="1"/>
  <c r="K80" i="1"/>
  <c r="L80" i="1" s="1"/>
  <c r="M80" i="1" s="1"/>
  <c r="K83" i="1"/>
  <c r="L83" i="1" s="1"/>
  <c r="M83" i="1" s="1"/>
  <c r="K87" i="1"/>
  <c r="L87" i="1" s="1"/>
  <c r="M87" i="1" s="1"/>
  <c r="K88" i="1"/>
  <c r="L88" i="1" s="1"/>
  <c r="M88" i="1" s="1"/>
  <c r="K95" i="1"/>
  <c r="L95" i="1" s="1"/>
  <c r="M95" i="1" s="1"/>
  <c r="K99" i="1"/>
  <c r="L99" i="1" s="1"/>
  <c r="M99" i="1" s="1"/>
  <c r="K102" i="1"/>
  <c r="L102" i="1" s="1"/>
  <c r="M102" i="1" s="1"/>
  <c r="K105" i="1"/>
  <c r="L105" i="1" s="1"/>
  <c r="M105" i="1" s="1"/>
  <c r="K44" i="1"/>
  <c r="L44" i="1" s="1"/>
  <c r="M44" i="1" s="1"/>
  <c r="K45" i="1"/>
  <c r="L45" i="1" s="1"/>
  <c r="M45" i="1" s="1"/>
  <c r="K120" i="1"/>
  <c r="L120" i="1" s="1"/>
  <c r="M120" i="1" s="1"/>
  <c r="K12" i="1"/>
  <c r="L12" i="1" s="1"/>
  <c r="M12" i="1" s="1"/>
  <c r="K20" i="1"/>
  <c r="L20" i="1" s="1"/>
  <c r="M20" i="1" s="1"/>
  <c r="K27" i="1"/>
  <c r="L27" i="1" s="1"/>
  <c r="M27" i="1" s="1"/>
  <c r="K28" i="1"/>
  <c r="L28" i="1" s="1"/>
  <c r="M28" i="1" s="1"/>
  <c r="K42" i="1"/>
  <c r="L42" i="1" s="1"/>
  <c r="M42" i="1" s="1"/>
  <c r="K56" i="1"/>
  <c r="L56" i="1" s="1"/>
  <c r="M56" i="1" s="1"/>
  <c r="K77" i="1"/>
  <c r="L77" i="1" s="1"/>
  <c r="M77" i="1" s="1"/>
  <c r="K114" i="1"/>
  <c r="L114" i="1" s="1"/>
  <c r="M114" i="1" s="1"/>
  <c r="K6" i="1"/>
  <c r="L6" i="1" s="1"/>
  <c r="M6" i="1" s="1"/>
  <c r="K7" i="1"/>
  <c r="L7" i="1" s="1"/>
  <c r="M7" i="1" s="1"/>
  <c r="K11" i="1"/>
  <c r="L11" i="1" s="1"/>
  <c r="M11" i="1" s="1"/>
  <c r="K16" i="1"/>
  <c r="L16" i="1" s="1"/>
  <c r="M16" i="1" s="1"/>
  <c r="K22" i="1"/>
  <c r="L22" i="1" s="1"/>
  <c r="K74" i="1"/>
  <c r="L74" i="1" s="1"/>
  <c r="M74" i="1" s="1"/>
  <c r="K78" i="1"/>
  <c r="L78" i="1" s="1"/>
  <c r="M78" i="1" s="1"/>
  <c r="K115" i="1"/>
  <c r="L115" i="1" s="1"/>
  <c r="M115" i="1" s="1"/>
  <c r="K122" i="1"/>
  <c r="L122" i="1" s="1"/>
  <c r="M122" i="1" s="1"/>
  <c r="K3" i="1"/>
  <c r="L3" i="1" s="1"/>
  <c r="M3" i="1" s="1"/>
  <c r="D17" i="2"/>
  <c r="D20" i="2"/>
  <c r="D12" i="2"/>
  <c r="D13" i="2"/>
  <c r="D19" i="2"/>
  <c r="D16" i="2"/>
  <c r="D21" i="2"/>
  <c r="K5" i="1"/>
  <c r="L5" i="1" s="1"/>
  <c r="M5" i="1" s="1"/>
  <c r="K4" i="1"/>
  <c r="L4" i="1" s="1"/>
  <c r="M4" i="1" s="1"/>
  <c r="K9" i="1"/>
  <c r="L9" i="1" s="1"/>
  <c r="M9" i="1" s="1"/>
  <c r="D14" i="2"/>
  <c r="K40" i="1"/>
  <c r="L40" i="1" s="1"/>
  <c r="M40" i="1" s="1"/>
  <c r="K41" i="1"/>
  <c r="L41" i="1" s="1"/>
  <c r="M41" i="1" s="1"/>
  <c r="K129" i="1"/>
  <c r="L129" i="1" s="1"/>
  <c r="M129" i="1" s="1"/>
  <c r="K130" i="1"/>
  <c r="L130" i="1" s="1"/>
  <c r="M130" i="1" s="1"/>
  <c r="K131" i="1"/>
  <c r="L131" i="1" s="1"/>
  <c r="M131" i="1" s="1"/>
  <c r="K132" i="1"/>
  <c r="L132" i="1" s="1"/>
  <c r="M132" i="1" s="1"/>
  <c r="K133" i="1"/>
  <c r="L133" i="1" s="1"/>
  <c r="M133" i="1" s="1"/>
  <c r="K134" i="1"/>
  <c r="L134" i="1" s="1"/>
  <c r="M134" i="1" s="1"/>
  <c r="K135" i="1"/>
  <c r="L135" i="1" s="1"/>
  <c r="M135" i="1" s="1"/>
  <c r="K136" i="1"/>
  <c r="L136" i="1" s="1"/>
  <c r="M136" i="1" s="1"/>
  <c r="K137" i="1"/>
  <c r="L137" i="1" s="1"/>
  <c r="M137" i="1" s="1"/>
  <c r="K138" i="1"/>
  <c r="L138" i="1" s="1"/>
  <c r="M138" i="1" s="1"/>
  <c r="K139" i="1"/>
  <c r="L139" i="1" s="1"/>
  <c r="M139" i="1" s="1"/>
  <c r="K140" i="1"/>
  <c r="L140" i="1" s="1"/>
  <c r="M140" i="1" s="1"/>
  <c r="K142" i="1"/>
  <c r="L142" i="1" s="1"/>
  <c r="M142" i="1" s="1"/>
  <c r="K143" i="1"/>
  <c r="L143" i="1" s="1"/>
  <c r="M143" i="1" s="1"/>
  <c r="K144" i="1"/>
  <c r="L144" i="1" s="1"/>
  <c r="M144" i="1" s="1"/>
  <c r="K145" i="1"/>
  <c r="L145" i="1" s="1"/>
  <c r="M145" i="1" s="1"/>
  <c r="K146" i="1"/>
  <c r="L146" i="1" s="1"/>
  <c r="M146" i="1" s="1"/>
  <c r="K147" i="1"/>
  <c r="L147" i="1" s="1"/>
  <c r="M147" i="1" s="1"/>
  <c r="D15" i="2"/>
  <c r="D18" i="2"/>
  <c r="D22" i="2"/>
  <c r="L75" i="1" l="1"/>
  <c r="M75" i="1" s="1"/>
  <c r="A2" i="3"/>
  <c r="A7" i="3"/>
  <c r="A5" i="3"/>
  <c r="A9" i="3"/>
  <c r="D11" i="2"/>
  <c r="D23" i="2" s="1"/>
  <c r="A8" i="3"/>
  <c r="A6" i="3"/>
  <c r="A4" i="3"/>
  <c r="A3" i="3"/>
  <c r="G15" i="2"/>
  <c r="H56" i="1" a="1"/>
  <c r="H56" i="1" s="1"/>
  <c r="H78" i="1" a="1"/>
  <c r="H78" i="1" s="1"/>
  <c r="H142" i="1" a="1"/>
  <c r="H142" i="1" s="1"/>
  <c r="H143" i="1" a="1"/>
  <c r="H143" i="1" s="1"/>
  <c r="F15" i="2" s="1" a="1"/>
  <c r="F15" i="2" s="1"/>
  <c r="H113" i="1" a="1"/>
  <c r="H113" i="1" s="1"/>
  <c r="H105" i="1" a="1"/>
  <c r="H105" i="1" s="1"/>
  <c r="H77" i="1" a="1"/>
  <c r="H77" i="1" s="1"/>
  <c r="G21" i="2"/>
  <c r="H114" i="1" a="1"/>
  <c r="H114" i="1" s="1"/>
  <c r="H139" i="1" a="1"/>
  <c r="H139" i="1" s="1"/>
  <c r="F21" i="2" s="1" a="1"/>
  <c r="F21" i="2" s="1"/>
  <c r="H115" i="1" a="1"/>
  <c r="H115" i="1" s="1"/>
  <c r="G13" i="2"/>
  <c r="H99" i="1" a="1"/>
  <c r="H99" i="1" s="1"/>
  <c r="H13" i="1" a="1"/>
  <c r="H13" i="1" s="1"/>
  <c r="H108" i="1" a="1"/>
  <c r="H108" i="1" s="1"/>
  <c r="H80" i="1" a="1"/>
  <c r="H80" i="1" s="1"/>
  <c r="H6" i="1" a="1"/>
  <c r="H6" i="1" s="1"/>
  <c r="H54" i="1" a="1"/>
  <c r="H54" i="1" s="1"/>
  <c r="H117" i="1" a="1"/>
  <c r="H117" i="1" s="1"/>
  <c r="H28" i="1" a="1"/>
  <c r="H28" i="1" s="1"/>
  <c r="H45" i="1" a="1"/>
  <c r="H45" i="1" s="1"/>
  <c r="H71" i="1" a="1"/>
  <c r="H71" i="1" s="1"/>
  <c r="H146" i="1" a="1"/>
  <c r="H146" i="1" s="1"/>
  <c r="H126" i="1" a="1"/>
  <c r="H126" i="1" s="1"/>
  <c r="H147" i="1" a="1"/>
  <c r="H147" i="1" s="1"/>
  <c r="F13" i="2" s="1" a="1"/>
  <c r="F13" i="2" s="1"/>
  <c r="G12" i="2"/>
  <c r="H59" i="1" a="1"/>
  <c r="H59" i="1" s="1"/>
  <c r="H31" i="1" a="1"/>
  <c r="H31" i="1" s="1"/>
  <c r="H69" i="1" a="1"/>
  <c r="H69" i="1" s="1"/>
  <c r="H41" i="1" a="1"/>
  <c r="H41" i="1" s="1"/>
  <c r="H7" i="1" a="1"/>
  <c r="H7" i="1" s="1"/>
  <c r="H20" i="1" a="1"/>
  <c r="H20" i="1" s="1"/>
  <c r="H88" i="1" a="1"/>
  <c r="H88" i="1" s="1"/>
  <c r="H107" i="1" a="1"/>
  <c r="H107" i="1" s="1"/>
  <c r="F12" i="2" s="1" a="1"/>
  <c r="F12" i="2" s="1"/>
  <c r="H97" i="1" a="1"/>
  <c r="H97" i="1" s="1"/>
  <c r="H128" i="1" a="1"/>
  <c r="H128" i="1" s="1"/>
  <c r="H32" i="1" a="1"/>
  <c r="H32" i="1" s="1"/>
  <c r="H120" i="1" a="1"/>
  <c r="H120" i="1" s="1"/>
  <c r="H26" i="1" a="1"/>
  <c r="H26" i="1" s="1"/>
  <c r="H11" i="1" a="1"/>
  <c r="H11" i="1" s="1"/>
  <c r="H135" i="1" a="1"/>
  <c r="H135" i="1" s="1"/>
  <c r="F19" i="2" s="1" a="1"/>
  <c r="F19" i="2" s="1"/>
  <c r="G17" i="2"/>
  <c r="H111" i="1" a="1"/>
  <c r="H111" i="1" s="1"/>
  <c r="F17" i="2" s="1" a="1"/>
  <c r="F17" i="2" s="1"/>
  <c r="H83" i="1" a="1"/>
  <c r="H83" i="1" s="1"/>
  <c r="H49" i="1" a="1"/>
  <c r="H49" i="1" s="1"/>
  <c r="H73" i="1" a="1"/>
  <c r="H73" i="1" s="1"/>
  <c r="H27" i="1" a="1"/>
  <c r="H27" i="1" s="1"/>
  <c r="H101" i="1" a="1"/>
  <c r="H101" i="1" s="1"/>
  <c r="H16" i="1" a="1"/>
  <c r="H16" i="1" s="1"/>
  <c r="H62" i="1" a="1"/>
  <c r="H62" i="1" s="1"/>
  <c r="M22" i="1"/>
  <c r="H42" i="1" a="1"/>
  <c r="H42" i="1" s="1"/>
  <c r="H22" i="1" a="1"/>
  <c r="H22" i="1" s="1"/>
  <c r="H50" i="1" a="1"/>
  <c r="H50" i="1" s="1"/>
  <c r="H58" i="1" a="1"/>
  <c r="H58" i="1" s="1"/>
  <c r="H76" i="1" a="1"/>
  <c r="H76" i="1" s="1"/>
  <c r="H87" i="1" a="1"/>
  <c r="H87" i="1" s="1"/>
  <c r="F16" i="2" s="1" a="1"/>
  <c r="F16" i="2" s="1"/>
  <c r="G18" i="2"/>
  <c r="H102" i="1" a="1"/>
  <c r="H102" i="1" s="1"/>
  <c r="H132" i="1" a="1"/>
  <c r="H132" i="1" s="1"/>
  <c r="F18" i="2" s="1" a="1"/>
  <c r="F18" i="2" s="1"/>
  <c r="H74" i="1" a="1"/>
  <c r="H74" i="1" s="1"/>
  <c r="G22" i="2"/>
  <c r="H136" i="1" a="1"/>
  <c r="H136" i="1" s="1"/>
  <c r="H122" i="1" a="1"/>
  <c r="H122" i="1" s="1"/>
  <c r="H137" i="1" a="1"/>
  <c r="H137" i="1" s="1"/>
  <c r="F22" i="2" s="1" a="1"/>
  <c r="F22" i="2" s="1"/>
  <c r="H3" i="1" a="1"/>
  <c r="H3" i="1" s="1"/>
  <c r="H47" i="1" a="1"/>
  <c r="H47" i="1" s="1"/>
  <c r="H40" i="1" a="1"/>
  <c r="H40" i="1" s="1"/>
  <c r="H134" i="1" a="1"/>
  <c r="H134" i="1" s="1"/>
  <c r="F14" i="2" s="1" a="1"/>
  <c r="F14" i="2" s="1"/>
  <c r="H33" i="1" a="1"/>
  <c r="H33" i="1" s="1"/>
  <c r="H12" i="1" a="1"/>
  <c r="H12" i="1" s="1"/>
  <c r="H25" i="1" a="1"/>
  <c r="H25" i="1" s="1"/>
  <c r="H84" i="1" a="1"/>
  <c r="H84" i="1" s="1"/>
  <c r="H93" i="1" a="1"/>
  <c r="H93" i="1" s="1"/>
  <c r="H66" i="1" a="1"/>
  <c r="H66" i="1" s="1"/>
  <c r="H121" i="1" a="1"/>
  <c r="H121" i="1" s="1"/>
  <c r="H57" i="1" a="1"/>
  <c r="H57" i="1" s="1"/>
  <c r="G11" i="2"/>
  <c r="H46" i="1" a="1"/>
  <c r="H46" i="1" s="1"/>
  <c r="H5" i="1" a="1"/>
  <c r="H5" i="1" s="1"/>
  <c r="H9" i="1" a="1"/>
  <c r="H9" i="1" s="1"/>
  <c r="H130" i="1" a="1"/>
  <c r="H130" i="1" s="1"/>
  <c r="F11" i="2" s="1" a="1"/>
  <c r="F11" i="2" s="1"/>
  <c r="H64" i="1" a="1"/>
  <c r="H64" i="1" s="1"/>
  <c r="H119" i="1" a="1"/>
  <c r="H119" i="1" s="1"/>
  <c r="H23" i="1" a="1"/>
  <c r="H23" i="1" s="1"/>
  <c r="H37" i="1" a="1"/>
  <c r="H37" i="1" s="1"/>
  <c r="H91" i="1" a="1"/>
  <c r="H91" i="1" s="1"/>
  <c r="H81" i="1" a="1"/>
  <c r="H81" i="1" s="1"/>
  <c r="G20" i="2"/>
  <c r="H95" i="1" a="1"/>
  <c r="H95" i="1" s="1"/>
  <c r="H53" i="1" a="1"/>
  <c r="H53" i="1" s="1"/>
  <c r="H17" i="1" a="1"/>
  <c r="H17" i="1" s="1"/>
  <c r="H127" i="1" a="1"/>
  <c r="H127" i="1" s="1"/>
  <c r="F20" i="2" s="1" a="1"/>
  <c r="F20" i="2" s="1"/>
  <c r="H104" i="1" a="1"/>
  <c r="H104" i="1" s="1"/>
  <c r="H35" i="1" a="1"/>
  <c r="H35" i="1" s="1"/>
  <c r="H67" i="1" a="1"/>
  <c r="H67" i="1" s="1"/>
  <c r="H4" i="1" a="1"/>
  <c r="H4" i="1" s="1"/>
  <c r="H44" i="1" a="1"/>
  <c r="H44" i="1" s="1"/>
  <c r="G16" i="2"/>
  <c r="G19" i="2"/>
  <c r="B3" i="2" l="1"/>
  <c r="I12" i="2"/>
  <c r="H12" i="2"/>
  <c r="I17" i="2"/>
  <c r="H17" i="2"/>
  <c r="I16" i="2"/>
  <c r="H16" i="2"/>
  <c r="H20" i="2"/>
  <c r="I20" i="2"/>
  <c r="C2" i="3"/>
  <c r="H11" i="2"/>
  <c r="I11" i="2"/>
  <c r="I15" i="2"/>
  <c r="H15" i="2"/>
  <c r="I21" i="2"/>
  <c r="H21" i="2"/>
  <c r="I13" i="2"/>
  <c r="H13" i="2"/>
  <c r="I19" i="2"/>
  <c r="H19" i="2"/>
  <c r="I18" i="2"/>
  <c r="H18" i="2"/>
  <c r="I22" i="2"/>
  <c r="H22" i="2"/>
  <c r="I14" i="2"/>
  <c r="H14" i="2"/>
  <c r="H36" i="2"/>
  <c r="I36" i="2"/>
  <c r="B36" i="2"/>
  <c r="C36" i="2"/>
  <c r="D36" i="2"/>
  <c r="E36" i="2"/>
  <c r="F36" i="2"/>
  <c r="G36" i="2"/>
  <c r="H40" i="2"/>
  <c r="G40" i="2"/>
  <c r="F40" i="2"/>
  <c r="E40" i="2"/>
  <c r="D40" i="2"/>
  <c r="C40" i="2"/>
  <c r="B40" i="2"/>
  <c r="I40" i="2"/>
  <c r="I39" i="2"/>
  <c r="H39" i="2"/>
  <c r="G39" i="2"/>
  <c r="F39" i="2"/>
  <c r="D39" i="2"/>
  <c r="C39" i="2"/>
  <c r="B39" i="2"/>
  <c r="E39" i="2"/>
  <c r="I34" i="2"/>
  <c r="B34" i="2"/>
  <c r="C34" i="2"/>
  <c r="D34" i="2"/>
  <c r="E34" i="2"/>
  <c r="F34" i="2"/>
  <c r="G34" i="2"/>
  <c r="H34" i="2"/>
  <c r="I31" i="2"/>
  <c r="H31" i="2"/>
  <c r="G31" i="2"/>
  <c r="E31" i="2"/>
  <c r="D31" i="2"/>
  <c r="C31" i="2"/>
  <c r="B31" i="2"/>
  <c r="F31" i="2"/>
  <c r="F35" i="2"/>
  <c r="C35" i="2"/>
  <c r="D35" i="2"/>
  <c r="E35" i="2"/>
  <c r="B35" i="2"/>
  <c r="G35" i="2"/>
  <c r="H35" i="2"/>
  <c r="I35" i="2"/>
  <c r="I33" i="2"/>
  <c r="H33" i="2"/>
  <c r="G33" i="2"/>
  <c r="F33" i="2"/>
  <c r="E33" i="2"/>
  <c r="D33" i="2"/>
  <c r="C33" i="2"/>
  <c r="B33" i="2"/>
  <c r="B37" i="2"/>
  <c r="C37" i="2"/>
  <c r="D37" i="2"/>
  <c r="E37" i="2"/>
  <c r="F37" i="2"/>
  <c r="G37" i="2"/>
  <c r="H37" i="2"/>
  <c r="I37" i="2"/>
  <c r="B29" i="2"/>
  <c r="I29" i="2"/>
  <c r="H29" i="2"/>
  <c r="G29" i="2"/>
  <c r="F29" i="2"/>
  <c r="E29" i="2"/>
  <c r="D29" i="2"/>
  <c r="C29" i="2"/>
  <c r="I30" i="2"/>
  <c r="H30" i="2"/>
  <c r="G30" i="2"/>
  <c r="F30" i="2"/>
  <c r="E30" i="2"/>
  <c r="D30" i="2"/>
  <c r="C30" i="2"/>
  <c r="B30" i="2"/>
  <c r="C38" i="2"/>
  <c r="D38" i="2"/>
  <c r="E38" i="2"/>
  <c r="F38" i="2"/>
  <c r="G38" i="2"/>
  <c r="H38" i="2"/>
  <c r="I38" i="2"/>
  <c r="B38" i="2"/>
  <c r="E58" i="3"/>
  <c r="I65" i="3"/>
  <c r="I63" i="3"/>
  <c r="I62" i="3"/>
  <c r="I61" i="3"/>
  <c r="I60" i="3"/>
  <c r="I59" i="3"/>
  <c r="I58" i="3"/>
  <c r="D62" i="3"/>
  <c r="D61" i="3"/>
  <c r="D60" i="3"/>
  <c r="D59" i="3"/>
  <c r="D58" i="3"/>
  <c r="D64" i="3"/>
  <c r="D65" i="3"/>
  <c r="H58" i="3"/>
  <c r="J65" i="3"/>
  <c r="J64" i="3"/>
  <c r="J63" i="3"/>
  <c r="J62" i="3"/>
  <c r="J61" i="3"/>
  <c r="J60" i="3"/>
  <c r="J59" i="3"/>
  <c r="J58" i="3"/>
  <c r="H59" i="3"/>
  <c r="H60" i="3"/>
  <c r="H61" i="3"/>
  <c r="H62" i="3"/>
  <c r="H63" i="3"/>
  <c r="H64" i="3"/>
  <c r="H65" i="3"/>
  <c r="D63" i="3"/>
  <c r="I64" i="3"/>
  <c r="F58" i="3"/>
  <c r="F59" i="3"/>
  <c r="F60" i="3"/>
  <c r="F61" i="3"/>
  <c r="F62" i="3"/>
  <c r="F63" i="3"/>
  <c r="F64" i="3"/>
  <c r="F65" i="3"/>
  <c r="K65" i="3"/>
  <c r="G65" i="3"/>
  <c r="G64" i="3"/>
  <c r="G63" i="3"/>
  <c r="G62" i="3"/>
  <c r="G61" i="3"/>
  <c r="G60" i="3"/>
  <c r="L58" i="3"/>
  <c r="L59" i="3"/>
  <c r="L60" i="3"/>
  <c r="L61" i="3"/>
  <c r="L62" i="3"/>
  <c r="L63" i="3"/>
  <c r="L64" i="3"/>
  <c r="L65" i="3"/>
  <c r="G59" i="3"/>
  <c r="G58" i="3"/>
  <c r="K64" i="3"/>
  <c r="K63" i="3"/>
  <c r="K62" i="3"/>
  <c r="K61" i="3"/>
  <c r="K60" i="3"/>
  <c r="K59" i="3"/>
  <c r="K58" i="3"/>
  <c r="E65" i="3"/>
  <c r="E64" i="3"/>
  <c r="C58" i="3"/>
  <c r="C59" i="3"/>
  <c r="C60" i="3"/>
  <c r="C61" i="3"/>
  <c r="C62" i="3"/>
  <c r="C63" i="3"/>
  <c r="C64" i="3"/>
  <c r="C65" i="3"/>
  <c r="E63" i="3"/>
  <c r="E62" i="3"/>
  <c r="E61" i="3"/>
  <c r="E60" i="3"/>
  <c r="E59" i="3"/>
  <c r="H97" i="3"/>
  <c r="K90" i="3"/>
  <c r="L92" i="3"/>
  <c r="L93" i="3"/>
  <c r="L94" i="3"/>
  <c r="L95" i="3"/>
  <c r="L96" i="3"/>
  <c r="L97" i="3"/>
  <c r="G97" i="3"/>
  <c r="G96" i="3"/>
  <c r="L90" i="3"/>
  <c r="C97" i="3"/>
  <c r="C96" i="3"/>
  <c r="C95" i="3"/>
  <c r="C94" i="3"/>
  <c r="C93" i="3"/>
  <c r="I90" i="3"/>
  <c r="I91" i="3"/>
  <c r="I92" i="3"/>
  <c r="I93" i="3"/>
  <c r="I94" i="3"/>
  <c r="I95" i="3"/>
  <c r="I96" i="3"/>
  <c r="I97" i="3"/>
  <c r="C92" i="3"/>
  <c r="C91" i="3"/>
  <c r="F97" i="3"/>
  <c r="F96" i="3"/>
  <c r="F95" i="3"/>
  <c r="F94" i="3"/>
  <c r="F93" i="3"/>
  <c r="F92" i="3"/>
  <c r="F91" i="3"/>
  <c r="F90" i="3"/>
  <c r="J97" i="3"/>
  <c r="J96" i="3"/>
  <c r="J95" i="3"/>
  <c r="J94" i="3"/>
  <c r="J93" i="3"/>
  <c r="J92" i="3"/>
  <c r="J91" i="3"/>
  <c r="J90" i="3"/>
  <c r="D90" i="3"/>
  <c r="D91" i="3"/>
  <c r="D92" i="3"/>
  <c r="D93" i="3"/>
  <c r="D94" i="3"/>
  <c r="D95" i="3"/>
  <c r="D96" i="3"/>
  <c r="D97" i="3"/>
  <c r="C90" i="3"/>
  <c r="G95" i="3"/>
  <c r="G94" i="3"/>
  <c r="G93" i="3"/>
  <c r="G92" i="3"/>
  <c r="G91" i="3"/>
  <c r="G90" i="3"/>
  <c r="L91" i="3"/>
  <c r="H91" i="3"/>
  <c r="H92" i="3"/>
  <c r="H93" i="3"/>
  <c r="H94" i="3"/>
  <c r="H95" i="3"/>
  <c r="H96" i="3"/>
  <c r="E97" i="3"/>
  <c r="E96" i="3"/>
  <c r="E95" i="3"/>
  <c r="E94" i="3"/>
  <c r="E93" i="3"/>
  <c r="E92" i="3"/>
  <c r="E91" i="3"/>
  <c r="E90" i="3"/>
  <c r="K97" i="3"/>
  <c r="K96" i="3"/>
  <c r="K95" i="3"/>
  <c r="K94" i="3"/>
  <c r="K93" i="3"/>
  <c r="K92" i="3"/>
  <c r="K91" i="3"/>
  <c r="H90" i="3"/>
  <c r="F83" i="3"/>
  <c r="K82" i="3"/>
  <c r="K84" i="3"/>
  <c r="K85" i="3"/>
  <c r="K86" i="3"/>
  <c r="K87" i="3"/>
  <c r="K88" i="3"/>
  <c r="K89" i="3"/>
  <c r="E89" i="3"/>
  <c r="E88" i="3"/>
  <c r="H89" i="3"/>
  <c r="H88" i="3"/>
  <c r="H87" i="3"/>
  <c r="H86" i="3"/>
  <c r="H85" i="3"/>
  <c r="H84" i="3"/>
  <c r="L89" i="3"/>
  <c r="L88" i="3"/>
  <c r="L87" i="3"/>
  <c r="L86" i="3"/>
  <c r="L85" i="3"/>
  <c r="I82" i="3"/>
  <c r="I83" i="3"/>
  <c r="I84" i="3"/>
  <c r="I85" i="3"/>
  <c r="I86" i="3"/>
  <c r="I87" i="3"/>
  <c r="I88" i="3"/>
  <c r="I89" i="3"/>
  <c r="L84" i="3"/>
  <c r="L83" i="3"/>
  <c r="L82" i="3"/>
  <c r="C82" i="3"/>
  <c r="C83" i="3"/>
  <c r="C84" i="3"/>
  <c r="C85" i="3"/>
  <c r="C86" i="3"/>
  <c r="C87" i="3"/>
  <c r="C88" i="3"/>
  <c r="D82" i="3"/>
  <c r="D83" i="3"/>
  <c r="D84" i="3"/>
  <c r="D85" i="3"/>
  <c r="D86" i="3"/>
  <c r="D87" i="3"/>
  <c r="D88" i="3"/>
  <c r="D89" i="3"/>
  <c r="H83" i="3"/>
  <c r="F89" i="3"/>
  <c r="F88" i="3"/>
  <c r="F87" i="3"/>
  <c r="F86" i="3"/>
  <c r="F85" i="3"/>
  <c r="F84" i="3"/>
  <c r="J89" i="3"/>
  <c r="J88" i="3"/>
  <c r="H82" i="3"/>
  <c r="J87" i="3"/>
  <c r="G82" i="3"/>
  <c r="G83" i="3"/>
  <c r="G84" i="3"/>
  <c r="G85" i="3"/>
  <c r="G86" i="3"/>
  <c r="G87" i="3"/>
  <c r="G88" i="3"/>
  <c r="G89" i="3"/>
  <c r="C89" i="3"/>
  <c r="E87" i="3"/>
  <c r="E86" i="3"/>
  <c r="E85" i="3"/>
  <c r="E84" i="3"/>
  <c r="E83" i="3"/>
  <c r="E82" i="3"/>
  <c r="J86" i="3"/>
  <c r="J85" i="3"/>
  <c r="J84" i="3"/>
  <c r="J83" i="3"/>
  <c r="J82" i="3"/>
  <c r="K83" i="3"/>
  <c r="F82" i="3"/>
  <c r="H44" i="3"/>
  <c r="H43" i="3"/>
  <c r="K49" i="3"/>
  <c r="K48" i="3"/>
  <c r="K47" i="3"/>
  <c r="K46" i="3"/>
  <c r="K45" i="3"/>
  <c r="K44" i="3"/>
  <c r="H45" i="3"/>
  <c r="H46" i="3"/>
  <c r="H47" i="3"/>
  <c r="H48" i="3"/>
  <c r="H49" i="3"/>
  <c r="E46" i="3"/>
  <c r="J49" i="3"/>
  <c r="J48" i="3"/>
  <c r="K43" i="3"/>
  <c r="K42" i="3"/>
  <c r="J47" i="3"/>
  <c r="J46" i="3"/>
  <c r="J45" i="3"/>
  <c r="J44" i="3"/>
  <c r="J43" i="3"/>
  <c r="J42" i="3"/>
  <c r="G44" i="3"/>
  <c r="G45" i="3"/>
  <c r="G46" i="3"/>
  <c r="G47" i="3"/>
  <c r="G48" i="3"/>
  <c r="G49" i="3"/>
  <c r="E49" i="3"/>
  <c r="E48" i="3"/>
  <c r="H42" i="3"/>
  <c r="D42" i="3"/>
  <c r="D43" i="3"/>
  <c r="D44" i="3"/>
  <c r="D45" i="3"/>
  <c r="D46" i="3"/>
  <c r="L49" i="3"/>
  <c r="L48" i="3"/>
  <c r="D47" i="3"/>
  <c r="D48" i="3"/>
  <c r="D49" i="3"/>
  <c r="L47" i="3"/>
  <c r="L46" i="3"/>
  <c r="L45" i="3"/>
  <c r="L44" i="3"/>
  <c r="F42" i="3"/>
  <c r="C42" i="3"/>
  <c r="C43" i="3"/>
  <c r="C44" i="3"/>
  <c r="C45" i="3"/>
  <c r="C46" i="3"/>
  <c r="C47" i="3"/>
  <c r="C48" i="3"/>
  <c r="C49" i="3"/>
  <c r="I42" i="3"/>
  <c r="I43" i="3"/>
  <c r="I44" i="3"/>
  <c r="I45" i="3"/>
  <c r="I46" i="3"/>
  <c r="I47" i="3"/>
  <c r="I48" i="3"/>
  <c r="I49" i="3"/>
  <c r="L43" i="3"/>
  <c r="F49" i="3"/>
  <c r="F48" i="3"/>
  <c r="F47" i="3"/>
  <c r="F46" i="3"/>
  <c r="F45" i="3"/>
  <c r="F44" i="3"/>
  <c r="L42" i="3"/>
  <c r="G42" i="3"/>
  <c r="G43" i="3"/>
  <c r="E45" i="3"/>
  <c r="E44" i="3"/>
  <c r="E43" i="3"/>
  <c r="E42" i="3"/>
  <c r="F43" i="3"/>
  <c r="E47" i="3"/>
  <c r="E20" i="3"/>
  <c r="D24" i="3"/>
  <c r="E19" i="3"/>
  <c r="E22" i="3"/>
  <c r="E23" i="3"/>
  <c r="E24" i="3"/>
  <c r="E25" i="3"/>
  <c r="C23" i="3"/>
  <c r="E21" i="3"/>
  <c r="C22" i="3"/>
  <c r="C21" i="3"/>
  <c r="C20" i="3"/>
  <c r="C19" i="3"/>
  <c r="C18" i="3"/>
  <c r="L18" i="3"/>
  <c r="L19" i="3"/>
  <c r="L20" i="3"/>
  <c r="L21" i="3"/>
  <c r="L22" i="3"/>
  <c r="L23" i="3"/>
  <c r="L24" i="3"/>
  <c r="L25" i="3"/>
  <c r="G25" i="3"/>
  <c r="G24" i="3"/>
  <c r="G23" i="3"/>
  <c r="G22" i="3"/>
  <c r="G21" i="3"/>
  <c r="I25" i="3"/>
  <c r="I24" i="3"/>
  <c r="I23" i="3"/>
  <c r="I22" i="3"/>
  <c r="I21" i="3"/>
  <c r="G20" i="3"/>
  <c r="G19" i="3"/>
  <c r="G18" i="3"/>
  <c r="K18" i="3"/>
  <c r="K19" i="3"/>
  <c r="K20" i="3"/>
  <c r="I20" i="3"/>
  <c r="I19" i="3"/>
  <c r="I18" i="3"/>
  <c r="K21" i="3"/>
  <c r="K22" i="3"/>
  <c r="K23" i="3"/>
  <c r="K24" i="3"/>
  <c r="K25" i="3"/>
  <c r="E18" i="3"/>
  <c r="F25" i="3"/>
  <c r="H18" i="3"/>
  <c r="H19" i="3"/>
  <c r="H20" i="3"/>
  <c r="H21" i="3"/>
  <c r="H22" i="3"/>
  <c r="H23" i="3"/>
  <c r="H24" i="3"/>
  <c r="H25" i="3"/>
  <c r="F24" i="3"/>
  <c r="F23" i="3"/>
  <c r="F22" i="3"/>
  <c r="F21" i="3"/>
  <c r="F20" i="3"/>
  <c r="F19" i="3"/>
  <c r="F18" i="3"/>
  <c r="J18" i="3"/>
  <c r="J19" i="3"/>
  <c r="D18" i="3"/>
  <c r="D19" i="3"/>
  <c r="D20" i="3"/>
  <c r="D21" i="3"/>
  <c r="D22" i="3"/>
  <c r="D23" i="3"/>
  <c r="C25" i="3"/>
  <c r="C24" i="3"/>
  <c r="J20" i="3"/>
  <c r="J21" i="3"/>
  <c r="J22" i="3"/>
  <c r="J23" i="3"/>
  <c r="J24" i="3"/>
  <c r="J25" i="3"/>
  <c r="D25" i="3"/>
  <c r="F50" i="3"/>
  <c r="C56" i="3"/>
  <c r="J56" i="3"/>
  <c r="J55" i="3"/>
  <c r="J54" i="3"/>
  <c r="J53" i="3"/>
  <c r="J52" i="3"/>
  <c r="J51" i="3"/>
  <c r="F51" i="3"/>
  <c r="D55" i="3"/>
  <c r="D54" i="3"/>
  <c r="D53" i="3"/>
  <c r="E54" i="3"/>
  <c r="E55" i="3"/>
  <c r="E56" i="3"/>
  <c r="E57" i="3"/>
  <c r="G50" i="3"/>
  <c r="G51" i="3"/>
  <c r="D52" i="3"/>
  <c r="D51" i="3"/>
  <c r="G52" i="3"/>
  <c r="G53" i="3"/>
  <c r="G54" i="3"/>
  <c r="H57" i="3"/>
  <c r="J50" i="3"/>
  <c r="G55" i="3"/>
  <c r="D50" i="3"/>
  <c r="G56" i="3"/>
  <c r="G57" i="3"/>
  <c r="L57" i="3"/>
  <c r="L56" i="3"/>
  <c r="L55" i="3"/>
  <c r="L54" i="3"/>
  <c r="H56" i="3"/>
  <c r="H55" i="3"/>
  <c r="H54" i="3"/>
  <c r="H53" i="3"/>
  <c r="H52" i="3"/>
  <c r="H51" i="3"/>
  <c r="H50" i="3"/>
  <c r="I57" i="3"/>
  <c r="I56" i="3"/>
  <c r="I55" i="3"/>
  <c r="I54" i="3"/>
  <c r="I53" i="3"/>
  <c r="D57" i="3"/>
  <c r="D56" i="3"/>
  <c r="I52" i="3"/>
  <c r="J57" i="3"/>
  <c r="L53" i="3"/>
  <c r="L52" i="3"/>
  <c r="E53" i="3"/>
  <c r="K50" i="3"/>
  <c r="K51" i="3"/>
  <c r="E52" i="3"/>
  <c r="K52" i="3"/>
  <c r="K53" i="3"/>
  <c r="K54" i="3"/>
  <c r="K55" i="3"/>
  <c r="K56" i="3"/>
  <c r="K57" i="3"/>
  <c r="E51" i="3"/>
  <c r="E50" i="3"/>
  <c r="L51" i="3"/>
  <c r="L50" i="3"/>
  <c r="I50" i="3"/>
  <c r="C57" i="3"/>
  <c r="F57" i="3"/>
  <c r="F56" i="3"/>
  <c r="F55" i="3"/>
  <c r="F54" i="3"/>
  <c r="F53" i="3"/>
  <c r="F52" i="3"/>
  <c r="C50" i="3"/>
  <c r="C51" i="3"/>
  <c r="C52" i="3"/>
  <c r="C53" i="3"/>
  <c r="C54" i="3"/>
  <c r="C55" i="3"/>
  <c r="I51" i="3"/>
  <c r="G37" i="3"/>
  <c r="D41" i="3"/>
  <c r="C41" i="3"/>
  <c r="F41" i="3"/>
  <c r="F40" i="3"/>
  <c r="F39" i="3"/>
  <c r="F38" i="3"/>
  <c r="F37" i="3"/>
  <c r="F36" i="3"/>
  <c r="F35" i="3"/>
  <c r="I41" i="3"/>
  <c r="I40" i="3"/>
  <c r="I39" i="3"/>
  <c r="L34" i="3"/>
  <c r="L35" i="3"/>
  <c r="L36" i="3"/>
  <c r="L37" i="3"/>
  <c r="L38" i="3"/>
  <c r="L39" i="3"/>
  <c r="L40" i="3"/>
  <c r="L41" i="3"/>
  <c r="F34" i="3"/>
  <c r="D40" i="3"/>
  <c r="H34" i="3"/>
  <c r="H35" i="3"/>
  <c r="H36" i="3"/>
  <c r="H37" i="3"/>
  <c r="H38" i="3"/>
  <c r="H39" i="3"/>
  <c r="H40" i="3"/>
  <c r="C40" i="3"/>
  <c r="C39" i="3"/>
  <c r="C38" i="3"/>
  <c r="C37" i="3"/>
  <c r="K41" i="3"/>
  <c r="K40" i="3"/>
  <c r="C36" i="3"/>
  <c r="C35" i="3"/>
  <c r="C34" i="3"/>
  <c r="K39" i="3"/>
  <c r="H41" i="3"/>
  <c r="J34" i="3"/>
  <c r="K38" i="3"/>
  <c r="K37" i="3"/>
  <c r="K36" i="3"/>
  <c r="K35" i="3"/>
  <c r="K34" i="3"/>
  <c r="J35" i="3"/>
  <c r="J36" i="3"/>
  <c r="J37" i="3"/>
  <c r="J38" i="3"/>
  <c r="J39" i="3"/>
  <c r="J40" i="3"/>
  <c r="J41" i="3"/>
  <c r="E41" i="3"/>
  <c r="D34" i="3"/>
  <c r="D35" i="3"/>
  <c r="D36" i="3"/>
  <c r="D37" i="3"/>
  <c r="D38" i="3"/>
  <c r="D39" i="3"/>
  <c r="G41" i="3"/>
  <c r="G40" i="3"/>
  <c r="G39" i="3"/>
  <c r="G38" i="3"/>
  <c r="E40" i="3"/>
  <c r="E39" i="3"/>
  <c r="E38" i="3"/>
  <c r="E37" i="3"/>
  <c r="E36" i="3"/>
  <c r="E35" i="3"/>
  <c r="E34" i="3"/>
  <c r="I34" i="3"/>
  <c r="I35" i="3"/>
  <c r="I36" i="3"/>
  <c r="I37" i="3"/>
  <c r="I38" i="3"/>
  <c r="G34" i="3"/>
  <c r="G35" i="3"/>
  <c r="G36" i="3"/>
  <c r="E71" i="3"/>
  <c r="I66" i="3"/>
  <c r="C70" i="3"/>
  <c r="C69" i="3"/>
  <c r="C68" i="3"/>
  <c r="C72" i="3"/>
  <c r="C73" i="3"/>
  <c r="L73" i="3"/>
  <c r="L72" i="3"/>
  <c r="L71" i="3"/>
  <c r="L70" i="3"/>
  <c r="L69" i="3"/>
  <c r="L68" i="3"/>
  <c r="C67" i="3"/>
  <c r="C66" i="3"/>
  <c r="E66" i="3"/>
  <c r="E67" i="3"/>
  <c r="E68" i="3"/>
  <c r="E69" i="3"/>
  <c r="D67" i="3"/>
  <c r="D69" i="3"/>
  <c r="L67" i="3"/>
  <c r="L66" i="3"/>
  <c r="D70" i="3"/>
  <c r="D71" i="3"/>
  <c r="D72" i="3"/>
  <c r="E70" i="3"/>
  <c r="E72" i="3"/>
  <c r="D68" i="3"/>
  <c r="G66" i="3"/>
  <c r="G67" i="3"/>
  <c r="G68" i="3"/>
  <c r="G69" i="3"/>
  <c r="G70" i="3"/>
  <c r="G71" i="3"/>
  <c r="G72" i="3"/>
  <c r="G73" i="3"/>
  <c r="D66" i="3"/>
  <c r="E73" i="3"/>
  <c r="K66" i="3"/>
  <c r="F73" i="3"/>
  <c r="F72" i="3"/>
  <c r="F71" i="3"/>
  <c r="F70" i="3"/>
  <c r="F69" i="3"/>
  <c r="F68" i="3"/>
  <c r="F67" i="3"/>
  <c r="F66" i="3"/>
  <c r="K67" i="3"/>
  <c r="K68" i="3"/>
  <c r="K69" i="3"/>
  <c r="K70" i="3"/>
  <c r="K71" i="3"/>
  <c r="K72" i="3"/>
  <c r="K73" i="3"/>
  <c r="I69" i="3"/>
  <c r="D73" i="3"/>
  <c r="J73" i="3"/>
  <c r="J72" i="3"/>
  <c r="J71" i="3"/>
  <c r="J70" i="3"/>
  <c r="J69" i="3"/>
  <c r="J68" i="3"/>
  <c r="J67" i="3"/>
  <c r="I73" i="3"/>
  <c r="J66" i="3"/>
  <c r="H73" i="3"/>
  <c r="H72" i="3"/>
  <c r="H71" i="3"/>
  <c r="H70" i="3"/>
  <c r="H69" i="3"/>
  <c r="H68" i="3"/>
  <c r="H67" i="3"/>
  <c r="I72" i="3"/>
  <c r="I71" i="3"/>
  <c r="I70" i="3"/>
  <c r="H66" i="3"/>
  <c r="I67" i="3"/>
  <c r="I68" i="3"/>
  <c r="C71" i="3"/>
  <c r="L2" i="3"/>
  <c r="F7" i="3"/>
  <c r="L3" i="3"/>
  <c r="F3" i="3"/>
  <c r="L5" i="3"/>
  <c r="L6" i="3"/>
  <c r="L7" i="3"/>
  <c r="L8" i="3"/>
  <c r="L9" i="3"/>
  <c r="E9" i="3"/>
  <c r="E8" i="3"/>
  <c r="E7" i="3"/>
  <c r="E6" i="3"/>
  <c r="E5" i="3"/>
  <c r="E4" i="3"/>
  <c r="E3" i="3"/>
  <c r="E2" i="3"/>
  <c r="C9" i="3"/>
  <c r="C8" i="3"/>
  <c r="C7" i="3"/>
  <c r="C6" i="3"/>
  <c r="C5" i="3"/>
  <c r="C4" i="3"/>
  <c r="C3" i="3"/>
  <c r="K2" i="3"/>
  <c r="K3" i="3"/>
  <c r="K4" i="3"/>
  <c r="K5" i="3"/>
  <c r="K6" i="3"/>
  <c r="K7" i="3"/>
  <c r="K8" i="3"/>
  <c r="K9" i="3"/>
  <c r="J2" i="3"/>
  <c r="G9" i="3"/>
  <c r="G8" i="3"/>
  <c r="G7" i="3"/>
  <c r="G6" i="3"/>
  <c r="G5" i="3"/>
  <c r="G4" i="3"/>
  <c r="G3" i="3"/>
  <c r="G2" i="3"/>
  <c r="J3" i="3"/>
  <c r="J4" i="3"/>
  <c r="J5" i="3"/>
  <c r="J6" i="3"/>
  <c r="J7" i="3"/>
  <c r="J8" i="3"/>
  <c r="J9" i="3"/>
  <c r="I2" i="3"/>
  <c r="I3" i="3"/>
  <c r="I4" i="3"/>
  <c r="I5" i="3"/>
  <c r="I6" i="3"/>
  <c r="I7" i="3"/>
  <c r="I8" i="3"/>
  <c r="I9" i="3"/>
  <c r="F2" i="3"/>
  <c r="H2" i="3"/>
  <c r="H3" i="3"/>
  <c r="H4" i="3"/>
  <c r="H5" i="3"/>
  <c r="H6" i="3"/>
  <c r="H7" i="3"/>
  <c r="H8" i="3"/>
  <c r="H9" i="3"/>
  <c r="L4" i="3"/>
  <c r="F4" i="3"/>
  <c r="F9" i="3"/>
  <c r="D2" i="3"/>
  <c r="D3" i="3"/>
  <c r="D4" i="3"/>
  <c r="D5" i="3"/>
  <c r="D6" i="3"/>
  <c r="D7" i="3"/>
  <c r="D8" i="3"/>
  <c r="D9" i="3"/>
  <c r="F5" i="3"/>
  <c r="F6" i="3"/>
  <c r="F8" i="3"/>
  <c r="E17" i="3"/>
  <c r="J11" i="3"/>
  <c r="D15" i="3"/>
  <c r="D16" i="3"/>
  <c r="D17" i="3"/>
  <c r="D13" i="3"/>
  <c r="D12" i="3"/>
  <c r="D11" i="3"/>
  <c r="D10" i="3"/>
  <c r="F10" i="3"/>
  <c r="F11" i="3"/>
  <c r="E14" i="3"/>
  <c r="E13" i="3"/>
  <c r="E12" i="3"/>
  <c r="E11" i="3"/>
  <c r="E10" i="3"/>
  <c r="C17" i="3"/>
  <c r="C16" i="3"/>
  <c r="C15" i="3"/>
  <c r="H17" i="3"/>
  <c r="H16" i="3"/>
  <c r="H15" i="3"/>
  <c r="H14" i="3"/>
  <c r="H13" i="3"/>
  <c r="H12" i="3"/>
  <c r="H11" i="3"/>
  <c r="H10" i="3"/>
  <c r="F12" i="3"/>
  <c r="F13" i="3"/>
  <c r="F14" i="3"/>
  <c r="F15" i="3"/>
  <c r="F16" i="3"/>
  <c r="F17" i="3"/>
  <c r="C14" i="3"/>
  <c r="C13" i="3"/>
  <c r="C12" i="3"/>
  <c r="C11" i="3"/>
  <c r="C10" i="3"/>
  <c r="L10" i="3"/>
  <c r="E16" i="3"/>
  <c r="L11" i="3"/>
  <c r="E15" i="3"/>
  <c r="L12" i="3"/>
  <c r="I17" i="3"/>
  <c r="I16" i="3"/>
  <c r="I15" i="3"/>
  <c r="I14" i="3"/>
  <c r="I13" i="3"/>
  <c r="I12" i="3"/>
  <c r="I11" i="3"/>
  <c r="I10" i="3"/>
  <c r="L13" i="3"/>
  <c r="L14" i="3"/>
  <c r="L15" i="3"/>
  <c r="L16" i="3"/>
  <c r="L17" i="3"/>
  <c r="G17" i="3"/>
  <c r="G16" i="3"/>
  <c r="G15" i="3"/>
  <c r="G14" i="3"/>
  <c r="G13" i="3"/>
  <c r="G12" i="3"/>
  <c r="G11" i="3"/>
  <c r="K10" i="3"/>
  <c r="K11" i="3"/>
  <c r="K12" i="3"/>
  <c r="K13" i="3"/>
  <c r="K14" i="3"/>
  <c r="K15" i="3"/>
  <c r="K16" i="3"/>
  <c r="K17" i="3"/>
  <c r="G10" i="3"/>
  <c r="D14" i="3"/>
  <c r="J17" i="3"/>
  <c r="J16" i="3"/>
  <c r="J15" i="3"/>
  <c r="J14" i="3"/>
  <c r="J13" i="3"/>
  <c r="J12" i="3"/>
  <c r="J10" i="3"/>
  <c r="E77" i="3"/>
  <c r="E76" i="3"/>
  <c r="E75" i="3"/>
  <c r="E74" i="3"/>
  <c r="F81" i="3"/>
  <c r="D75" i="3"/>
  <c r="D77" i="3"/>
  <c r="D79" i="3"/>
  <c r="J74" i="3"/>
  <c r="K81" i="3"/>
  <c r="K80" i="3"/>
  <c r="K79" i="3"/>
  <c r="K78" i="3"/>
  <c r="K77" i="3"/>
  <c r="K76" i="3"/>
  <c r="K75" i="3"/>
  <c r="K74" i="3"/>
  <c r="J75" i="3"/>
  <c r="J76" i="3"/>
  <c r="J77" i="3"/>
  <c r="J78" i="3"/>
  <c r="J79" i="3"/>
  <c r="J80" i="3"/>
  <c r="J81" i="3"/>
  <c r="E78" i="3"/>
  <c r="E79" i="3"/>
  <c r="E80" i="3"/>
  <c r="E81" i="3"/>
  <c r="F80" i="3"/>
  <c r="F79" i="3"/>
  <c r="F78" i="3"/>
  <c r="F77" i="3"/>
  <c r="G74" i="3"/>
  <c r="C74" i="3"/>
  <c r="C75" i="3"/>
  <c r="C76" i="3"/>
  <c r="C77" i="3"/>
  <c r="C78" i="3"/>
  <c r="C79" i="3"/>
  <c r="C80" i="3"/>
  <c r="C81" i="3"/>
  <c r="L81" i="3"/>
  <c r="L80" i="3"/>
  <c r="L79" i="3"/>
  <c r="L78" i="3"/>
  <c r="L77" i="3"/>
  <c r="L76" i="3"/>
  <c r="L75" i="3"/>
  <c r="L74" i="3"/>
  <c r="D81" i="3"/>
  <c r="D80" i="3"/>
  <c r="D78" i="3"/>
  <c r="D76" i="3"/>
  <c r="D74" i="3"/>
  <c r="I74" i="3"/>
  <c r="F76" i="3"/>
  <c r="I78" i="3"/>
  <c r="G75" i="3"/>
  <c r="G76" i="3"/>
  <c r="G77" i="3"/>
  <c r="G78" i="3"/>
  <c r="G79" i="3"/>
  <c r="G80" i="3"/>
  <c r="G81" i="3"/>
  <c r="I79" i="3"/>
  <c r="I80" i="3"/>
  <c r="I81" i="3"/>
  <c r="F75" i="3"/>
  <c r="F74" i="3"/>
  <c r="H74" i="3"/>
  <c r="H75" i="3"/>
  <c r="H76" i="3"/>
  <c r="H77" i="3"/>
  <c r="H78" i="3"/>
  <c r="H79" i="3"/>
  <c r="H80" i="3"/>
  <c r="H81" i="3"/>
  <c r="I75" i="3"/>
  <c r="I77" i="3"/>
  <c r="I76" i="3"/>
  <c r="G14" i="2"/>
  <c r="B4" i="2" l="1"/>
  <c r="G23" i="2"/>
  <c r="H23" i="2"/>
  <c r="B7" i="2" s="1"/>
  <c r="B5" i="2"/>
  <c r="B32" i="2"/>
  <c r="C32" i="2"/>
  <c r="D32" i="2"/>
  <c r="E32" i="2"/>
  <c r="F32" i="2"/>
  <c r="G32" i="2"/>
  <c r="H32" i="2"/>
  <c r="I32" i="2"/>
  <c r="L26" i="3"/>
  <c r="L27" i="3"/>
  <c r="L28" i="3"/>
  <c r="L29" i="3"/>
  <c r="L30" i="3"/>
  <c r="L31" i="3"/>
  <c r="L32" i="3"/>
  <c r="L33" i="3"/>
  <c r="K26" i="3"/>
  <c r="K27" i="3"/>
  <c r="K28" i="3"/>
  <c r="K29" i="3"/>
  <c r="K30" i="3"/>
  <c r="K31" i="3"/>
  <c r="K32" i="3"/>
  <c r="K33" i="3"/>
  <c r="J26" i="3"/>
  <c r="J27" i="3"/>
  <c r="J28" i="3"/>
  <c r="J29" i="3"/>
  <c r="J30" i="3"/>
  <c r="J31" i="3"/>
  <c r="J32" i="3"/>
  <c r="J33" i="3"/>
  <c r="I26" i="3"/>
  <c r="I27" i="3"/>
  <c r="I28" i="3"/>
  <c r="I29" i="3"/>
  <c r="I30" i="3"/>
  <c r="I31" i="3"/>
  <c r="I32" i="3"/>
  <c r="I33" i="3"/>
  <c r="H26" i="3"/>
  <c r="H27" i="3"/>
  <c r="H28" i="3"/>
  <c r="H29" i="3"/>
  <c r="H30" i="3"/>
  <c r="H31" i="3"/>
  <c r="H32" i="3"/>
  <c r="H33" i="3"/>
  <c r="F26" i="3"/>
  <c r="F27" i="3"/>
  <c r="F28" i="3"/>
  <c r="F29" i="3"/>
  <c r="F30" i="3"/>
  <c r="F31" i="3"/>
  <c r="F32" i="3"/>
  <c r="F33" i="3"/>
  <c r="G26" i="3"/>
  <c r="G27" i="3"/>
  <c r="G28" i="3"/>
  <c r="G29" i="3"/>
  <c r="G30" i="3"/>
  <c r="G31" i="3"/>
  <c r="G32" i="3"/>
  <c r="G33" i="3"/>
  <c r="E26" i="3"/>
  <c r="E27" i="3"/>
  <c r="E28" i="3"/>
  <c r="E29" i="3"/>
  <c r="E30" i="3"/>
  <c r="E31" i="3"/>
  <c r="E32" i="3"/>
  <c r="E33" i="3"/>
  <c r="D26" i="3"/>
  <c r="D27" i="3"/>
  <c r="D28" i="3"/>
  <c r="D29" i="3"/>
  <c r="D30" i="3"/>
  <c r="D31" i="3"/>
  <c r="D32" i="3"/>
  <c r="D33" i="3"/>
  <c r="C26" i="3"/>
  <c r="C27" i="3"/>
  <c r="C28" i="3"/>
  <c r="C29" i="3"/>
  <c r="C30" i="3"/>
  <c r="C31" i="3"/>
  <c r="C32" i="3"/>
  <c r="C33"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futureMetadata>
  <cellMetadata count="1">
    <bk>
      <rc t="1" v="0"/>
    </bk>
  </cellMetadata>
  <valueMetadata count="12">
    <bk>
      <rc t="2" v="0"/>
    </bk>
    <bk>
      <rc t="2" v="1"/>
    </bk>
    <bk>
      <rc t="2" v="2"/>
    </bk>
    <bk>
      <rc t="2" v="3"/>
    </bk>
    <bk>
      <rc t="2" v="4"/>
    </bk>
    <bk>
      <rc t="2" v="5"/>
    </bk>
    <bk>
      <rc t="2" v="6"/>
    </bk>
    <bk>
      <rc t="2" v="7"/>
    </bk>
    <bk>
      <rc t="2" v="8"/>
    </bk>
    <bk>
      <rc t="2" v="9"/>
    </bk>
    <bk>
      <rc t="2" v="10"/>
    </bk>
    <bk>
      <rc t="2" v="11"/>
    </bk>
  </valueMetadata>
</metadata>
</file>

<file path=xl/sharedStrings.xml><?xml version="1.0" encoding="utf-8"?>
<sst xmlns="http://schemas.openxmlformats.org/spreadsheetml/2006/main" count="355" uniqueCount="76">
  <si>
    <t>Date</t>
  </si>
  <si>
    <t>Transaction ID</t>
  </si>
  <si>
    <t>Stock Tickers</t>
  </si>
  <si>
    <t>Action</t>
  </si>
  <si>
    <t>Lot </t>
  </si>
  <si>
    <t>Deposit</t>
  </si>
  <si>
    <t>BBRI</t>
  </si>
  <si>
    <t>Buy</t>
  </si>
  <si>
    <t>TLKM</t>
  </si>
  <si>
    <t>ADRO</t>
  </si>
  <si>
    <t>BBCA</t>
  </si>
  <si>
    <t>ASII</t>
  </si>
  <si>
    <t>Dividend</t>
  </si>
  <si>
    <t>ITMG</t>
  </si>
  <si>
    <t>ICBP</t>
  </si>
  <si>
    <t>Sell</t>
  </si>
  <si>
    <t>GOTO</t>
  </si>
  <si>
    <t>Withdraw</t>
  </si>
  <si>
    <t>BREN</t>
  </si>
  <si>
    <t>INDF</t>
  </si>
  <si>
    <t>UNTR</t>
  </si>
  <si>
    <t>UNVR</t>
  </si>
  <si>
    <t>Position Change</t>
  </si>
  <si>
    <t>Price</t>
  </si>
  <si>
    <t>Dividend per Share</t>
  </si>
  <si>
    <t>Amount</t>
  </si>
  <si>
    <t>Total Fee</t>
  </si>
  <si>
    <t>Exchange Fee</t>
  </si>
  <si>
    <t>Broker Fee</t>
  </si>
  <si>
    <t>Net Amount</t>
  </si>
  <si>
    <t>Cashflow</t>
  </si>
  <si>
    <t>Sectors</t>
  </si>
  <si>
    <t>Energy</t>
  </si>
  <si>
    <t>Industrials</t>
  </si>
  <si>
    <t>Financials</t>
  </si>
  <si>
    <t>Infrastructures</t>
  </si>
  <si>
    <t>Technology</t>
  </si>
  <si>
    <t>Consumer Non-Cyclicals</t>
  </si>
  <si>
    <t>Total Lot</t>
  </si>
  <si>
    <t>Total Investment</t>
  </si>
  <si>
    <t xml:space="preserve">Total Dividend Received </t>
  </si>
  <si>
    <t>Total Equity</t>
  </si>
  <si>
    <t>Invested</t>
  </si>
  <si>
    <t>Balance</t>
  </si>
  <si>
    <t>Stock Ticker</t>
  </si>
  <si>
    <t>Growth Percentage</t>
  </si>
  <si>
    <t>2027</t>
  </si>
  <si>
    <t>2028</t>
  </si>
  <si>
    <t>2029</t>
  </si>
  <si>
    <t>2030</t>
  </si>
  <si>
    <t>2031</t>
  </si>
  <si>
    <t>2032</t>
  </si>
  <si>
    <t>2033</t>
  </si>
  <si>
    <t>2034</t>
  </si>
  <si>
    <t>2035</t>
  </si>
  <si>
    <t>2036</t>
  </si>
  <si>
    <t>Weighted Average Price</t>
  </si>
  <si>
    <t>Last Update</t>
  </si>
  <si>
    <t>Current Price</t>
  </si>
  <si>
    <t xml:space="preserve">Percentage G/L </t>
  </si>
  <si>
    <t>Unrealized G/L</t>
  </si>
  <si>
    <t>Company</t>
  </si>
  <si>
    <t>[2027]</t>
  </si>
  <si>
    <t>[2028]</t>
  </si>
  <si>
    <t>[2029]</t>
  </si>
  <si>
    <t>[2030]</t>
  </si>
  <si>
    <t>[2031]</t>
  </si>
  <si>
    <t>[2032]</t>
  </si>
  <si>
    <t>[2033]</t>
  </si>
  <si>
    <t>[2034]</t>
  </si>
  <si>
    <t>[2035]</t>
  </si>
  <si>
    <t>[2036]</t>
  </si>
  <si>
    <t>Row Labels</t>
  </si>
  <si>
    <t>Grand Total</t>
  </si>
  <si>
    <t>Sum of Total Lot</t>
  </si>
  <si>
    <t>Total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</si>
</sst>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Rp&quot;#,##0_);[Red]\(&quot;Rp&quot;#,##0\)"/>
    <numFmt numFmtId="164" formatCode="yyyy\-mm\-dd;@"/>
    <numFmt numFmtId="165" formatCode="[$Rp-421]#,##0"/>
    <numFmt numFmtId="166" formatCode="&quot;Rp&quot;#,##0"/>
    <numFmt numFmtId="167" formatCode="_([$Rp-3809]* #,##0.00_);_([$Rp-3809]* \(#,##0.00\);_([$Rp-3809]* &quot;-&quot;??_);_(@_)"/>
  </numFmts>
  <fonts count="10">
    <font>
      <sz val="12"/>
      <color theme="1"/>
      <name val="Aptos Narrow"/>
      <family val="2"/>
      <scheme val="minor"/>
    </font>
    <font>
      <sz val="10"/>
      <color theme="1"/>
      <name val="Arial"/>
      <family val="2"/>
    </font>
    <font>
      <sz val="9"/>
      <color theme="1"/>
      <name val="Aptos Narrow"/>
      <family val="2"/>
      <scheme val="minor"/>
    </font>
    <font>
      <sz val="12"/>
      <color rgb="FF000000"/>
      <name val="Aptos Narrow"/>
      <family val="2"/>
      <scheme val="minor"/>
    </font>
    <font>
      <sz val="12"/>
      <color rgb="FFFF0000"/>
      <name val="Aptos Narrow"/>
      <family val="2"/>
      <scheme val="minor"/>
    </font>
    <font>
      <sz val="8"/>
      <name val="Aptos Narrow"/>
      <family val="2"/>
      <scheme val="minor"/>
    </font>
    <font>
      <sz val="12"/>
      <color theme="0" tint="-4.9989318521683403E-2"/>
      <name val="Aptos Narrow"/>
      <family val="2"/>
      <scheme val="minor"/>
    </font>
    <font>
      <sz val="12"/>
      <color theme="0" tint="-4.9989318521683403E-2"/>
      <name val="Baloo Bhaijaan Regular"/>
    </font>
    <font>
      <b/>
      <sz val="12"/>
      <color theme="1"/>
      <name val="Aptos Narrow"/>
      <scheme val="minor"/>
    </font>
    <font>
      <sz val="12"/>
      <color theme="0"/>
      <name val="Aptos Narrow"/>
      <family val="2"/>
      <scheme val="minor"/>
    </font>
  </fonts>
  <fills count="3">
    <fill>
      <patternFill patternType="none"/>
    </fill>
    <fill>
      <patternFill patternType="gray125"/>
    </fill>
    <fill>
      <patternFill patternType="solid">
        <fgColor rgb="FFF4F4F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164" fontId="0" fillId="0" borderId="0" xfId="0" applyNumberFormat="1"/>
    <xf numFmtId="14" fontId="0" fillId="0" borderId="0" xfId="0" applyNumberFormat="1"/>
    <xf numFmtId="49" fontId="0" fillId="0" borderId="0" xfId="0" applyNumberFormat="1"/>
    <xf numFmtId="165" fontId="0" fillId="0" borderId="0" xfId="0" applyNumberFormat="1"/>
    <xf numFmtId="166" fontId="0" fillId="0" borderId="0" xfId="0" applyNumberFormat="1"/>
    <xf numFmtId="0" fontId="2" fillId="0" borderId="0" xfId="0" applyFont="1"/>
    <xf numFmtId="10" fontId="2" fillId="0" borderId="0" xfId="0" applyNumberFormat="1" applyFont="1"/>
    <xf numFmtId="6" fontId="0" fillId="0" borderId="0" xfId="0" applyNumberFormat="1"/>
    <xf numFmtId="49" fontId="0" fillId="0" borderId="0" xfId="0" applyNumberFormat="1" applyAlignment="1">
      <alignment wrapText="1"/>
    </xf>
    <xf numFmtId="9" fontId="0" fillId="0" borderId="0" xfId="0" applyNumberFormat="1"/>
    <xf numFmtId="10" fontId="0" fillId="0" borderId="0" xfId="0" applyNumberFormat="1"/>
    <xf numFmtId="10" fontId="3" fillId="0" borderId="0" xfId="0" applyNumberFormat="1" applyFont="1"/>
    <xf numFmtId="9" fontId="3" fillId="0" borderId="0" xfId="0" applyNumberFormat="1" applyFont="1"/>
    <xf numFmtId="0" fontId="4" fillId="0" borderId="0" xfId="0" applyFont="1"/>
    <xf numFmtId="0" fontId="0" fillId="0" borderId="0" xfId="0" applyAlignment="1">
      <alignment horizontal="left"/>
    </xf>
    <xf numFmtId="0" fontId="7" fillId="2" borderId="0" xfId="0" applyFont="1" applyFill="1"/>
    <xf numFmtId="0" fontId="6" fillId="2" borderId="0" xfId="0" applyFont="1" applyFill="1"/>
    <xf numFmtId="0" fontId="0" fillId="0" borderId="1" xfId="0" applyBorder="1"/>
    <xf numFmtId="166" fontId="0" fillId="0" borderId="1" xfId="0" applyNumberFormat="1" applyBorder="1"/>
    <xf numFmtId="167" fontId="0" fillId="0" borderId="1" xfId="0" applyNumberFormat="1" applyBorder="1"/>
    <xf numFmtId="9" fontId="0" fillId="0" borderId="1" xfId="0" applyNumberFormat="1" applyBorder="1"/>
    <xf numFmtId="0" fontId="8" fillId="0" borderId="1" xfId="0" applyFont="1" applyBorder="1"/>
    <xf numFmtId="0" fontId="0" fillId="0" borderId="2" xfId="0" applyBorder="1"/>
    <xf numFmtId="167" fontId="0" fillId="0" borderId="2" xfId="0" applyNumberFormat="1" applyBorder="1"/>
    <xf numFmtId="166" fontId="0" fillId="0" borderId="2" xfId="0" applyNumberFormat="1" applyBorder="1"/>
    <xf numFmtId="0" fontId="4" fillId="0" borderId="1" xfId="0" applyFont="1" applyBorder="1"/>
    <xf numFmtId="0" fontId="8" fillId="0" borderId="3" xfId="0" applyFont="1" applyBorder="1"/>
    <xf numFmtId="9" fontId="0" fillId="0" borderId="0" xfId="0" applyNumberFormat="1" applyBorder="1"/>
    <xf numFmtId="0" fontId="0" fillId="0" borderId="0" xfId="0" applyBorder="1"/>
    <xf numFmtId="166" fontId="0" fillId="0" borderId="3" xfId="0" applyNumberFormat="1" applyBorder="1"/>
    <xf numFmtId="166" fontId="0" fillId="0" borderId="4" xfId="0" applyNumberFormat="1" applyBorder="1"/>
    <xf numFmtId="0" fontId="9" fillId="0" borderId="0" xfId="0" applyFont="1" applyFill="1" applyBorder="1"/>
    <xf numFmtId="10" fontId="1" fillId="0" borderId="1" xfId="0" applyNumberFormat="1" applyFont="1" applyBorder="1" applyAlignment="1">
      <alignment readingOrder="1"/>
    </xf>
    <xf numFmtId="9" fontId="1" fillId="0" borderId="1" xfId="0" applyNumberFormat="1" applyFont="1" applyBorder="1" applyAlignment="1">
      <alignment readingOrder="1"/>
    </xf>
    <xf numFmtId="0" fontId="0" fillId="0" borderId="0" xfId="0" pivotButton="1"/>
    <xf numFmtId="0" fontId="0" fillId="0" borderId="0" xfId="0" applyNumberFormat="1"/>
    <xf numFmtId="14" fontId="0" fillId="0" borderId="1" xfId="0" applyNumberFormat="1" applyBorder="1"/>
  </cellXfs>
  <cellStyles count="1">
    <cellStyle name="Normal" xfId="0" builtinId="0"/>
  </cellStyles>
  <dxfs count="24">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numFmt numFmtId="166" formatCode="&quot;Rp&quot;#,##0"/>
    </dxf>
    <dxf>
      <numFmt numFmtId="166" formatCode="&quot;Rp&quot;#,##0"/>
    </dxf>
    <dxf>
      <numFmt numFmtId="166" formatCode="&quot;Rp&quot;#,##0"/>
    </dxf>
    <dxf>
      <numFmt numFmtId="166" formatCode="&quot;Rp&quot;#,##0"/>
    </dxf>
    <dxf>
      <numFmt numFmtId="166" formatCode="&quot;Rp&quot;#,##0"/>
    </dxf>
    <dxf>
      <numFmt numFmtId="166" formatCode="&quot;Rp&quot;#,##0"/>
    </dxf>
    <dxf>
      <numFmt numFmtId="166" formatCode="&quot;Rp&quot;#,##0"/>
    </dxf>
    <dxf>
      <numFmt numFmtId="166" formatCode="&quot;Rp&quot;#,##0"/>
    </dxf>
    <dxf>
      <numFmt numFmtId="166" formatCode="&quot;Rp&quot;#,##0"/>
    </dxf>
    <dxf>
      <font>
        <b val="0"/>
        <i val="0"/>
        <strike val="0"/>
        <condense val="0"/>
        <extend val="0"/>
        <outline val="0"/>
        <shadow val="0"/>
        <u val="none"/>
        <vertAlign val="baseline"/>
        <sz val="12"/>
        <color theme="1"/>
        <name val="Aptos Narrow"/>
        <family val="2"/>
        <scheme val="minor"/>
      </font>
      <numFmt numFmtId="166" formatCode="&quot;Rp&quot;#,##0"/>
    </dxf>
    <dxf>
      <numFmt numFmtId="13" formatCode="0%"/>
    </dxf>
    <dxf>
      <numFmt numFmtId="10" formatCode="&quot;Rp&quot;#,##0_);[Red]\(&quot;Rp&quot;#,##0\)"/>
    </dxf>
    <dxf>
      <numFmt numFmtId="166" formatCode="&quot;Rp&quot;#,##0"/>
    </dxf>
    <dxf>
      <numFmt numFmtId="166" formatCode="&quot;Rp&quot;#,##0"/>
    </dxf>
    <dxf>
      <numFmt numFmtId="166" formatCode="&quot;Rp&quot;#,##0"/>
    </dxf>
    <dxf>
      <numFmt numFmtId="165" formatCode="[$Rp-421]#,##0"/>
    </dxf>
    <dxf>
      <numFmt numFmtId="165" formatCode="[$Rp-421]#,##0"/>
    </dxf>
    <dxf>
      <numFmt numFmtId="165" formatCode="[$Rp-421]#,##0"/>
    </dxf>
    <dxf>
      <numFmt numFmtId="0" formatCode="General"/>
    </dxf>
    <dxf>
      <numFmt numFmtId="30" formatCode="@"/>
    </dxf>
    <dxf>
      <numFmt numFmtId="19" formatCode="dd/mm/yy"/>
    </dxf>
    <dxf>
      <numFmt numFmtId="19" formatCode="dd/mm/yy"/>
    </dxf>
  </dxfs>
  <tableStyles count="1" defaultTableStyle="TableStyleMedium2" defaultPivotStyle="PivotStyleLight16">
    <tableStyle name="SlicerStyleLight4 2" pivot="0" table="0" count="10" xr9:uid="{3A77FC5E-3219-0F4B-AB11-0D1EEACFE6D4}">
      <tableStyleElement type="wholeTable" dxfId="1"/>
      <tableStyleElement type="headerRow" dxfId="0"/>
    </tableStyle>
  </tableStyles>
  <colors>
    <mruColors>
      <color rgb="FFF4F4F4"/>
      <color rgb="FF6BAA96"/>
      <color rgb="FFA0B6D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[Investment_Growth_Simulation.xlsx]Database !PivotTable1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shade val="42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shade val="5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shade val="68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shade val="8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shade val="93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tint val="94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tint val="81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tint val="69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tint val="5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tint val="43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hade val="42000"/>
              <a:alpha val="85000"/>
            </a:schemeClr>
          </a:solidFill>
          <a:ln w="9525" cap="flat" cmpd="sng" algn="ctr">
            <a:solidFill>
              <a:schemeClr val="lt1">
                <a:alpha val="50000"/>
              </a:schemeClr>
            </a:solidFill>
            <a:round/>
          </a:ln>
          <a:effectLst/>
        </c:spPr>
        <c:dLbl>
          <c:idx val="0"/>
          <c:layout>
            <c:manualLayout>
              <c:x val="-1.7417986159122094E-2"/>
              <c:y val="-1.5865429030374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tint val="43000"/>
              <a:alpha val="85000"/>
            </a:schemeClr>
          </a:solidFill>
          <a:ln w="9525" cap="flat" cmpd="sng" algn="ctr">
            <a:solidFill>
              <a:schemeClr val="lt1">
                <a:alpha val="50000"/>
              </a:schemeClr>
            </a:solidFill>
            <a:round/>
          </a:ln>
          <a:effectLst/>
        </c:spPr>
        <c:dLbl>
          <c:idx val="0"/>
          <c:layout>
            <c:manualLayout>
              <c:x val="-1.1172302542434013E-2"/>
              <c:y val="-1.30207202840810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hade val="55000"/>
              <a:alpha val="85000"/>
            </a:schemeClr>
          </a:solidFill>
          <a:ln w="9525" cap="flat" cmpd="sng" algn="ctr">
            <a:solidFill>
              <a:schemeClr val="lt1">
                <a:alpha val="50000"/>
              </a:schemeClr>
            </a:solidFill>
            <a:round/>
          </a:ln>
          <a:effectLst/>
        </c:spPr>
        <c:dLbl>
          <c:idx val="0"/>
          <c:layout>
            <c:manualLayout>
              <c:x val="-9.5007197231575195E-3"/>
              <c:y val="-2.3448482428640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hade val="68000"/>
              <a:alpha val="85000"/>
            </a:schemeClr>
          </a:solidFill>
          <a:ln w="9525" cap="flat" cmpd="sng" algn="ctr">
            <a:solidFill>
              <a:schemeClr val="lt1">
                <a:alpha val="50000"/>
              </a:schemeClr>
            </a:solidFill>
            <a:round/>
          </a:ln>
          <a:effectLst/>
        </c:spPr>
        <c:dLbl>
          <c:idx val="0"/>
          <c:layout>
            <c:manualLayout>
              <c:x val="-9.5007197231575351E-3"/>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hade val="80000"/>
              <a:alpha val="85000"/>
            </a:schemeClr>
          </a:solidFill>
          <a:ln w="9525" cap="flat" cmpd="sng" algn="ctr">
            <a:solidFill>
              <a:schemeClr val="lt1">
                <a:alpha val="50000"/>
              </a:schemeClr>
            </a:solidFill>
            <a:round/>
          </a:ln>
          <a:effectLst/>
        </c:spPr>
        <c:dLbl>
          <c:idx val="0"/>
          <c:layout>
            <c:manualLayout>
              <c:x val="-1.1084173010350482E-2"/>
              <c:y val="-2.67911216344294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hade val="93000"/>
              <a:alpha val="85000"/>
            </a:schemeClr>
          </a:solidFill>
          <a:ln w="9525" cap="flat" cmpd="sng" algn="ctr">
            <a:solidFill>
              <a:schemeClr val="lt1">
                <a:alpha val="50000"/>
              </a:schemeClr>
            </a:solidFill>
            <a:round/>
          </a:ln>
          <a:effectLst/>
        </c:spPr>
        <c:dLbl>
          <c:idx val="0"/>
          <c:layout>
            <c:manualLayout>
              <c:x val="-1.1084173010350482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tint val="94000"/>
              <a:alpha val="85000"/>
            </a:schemeClr>
          </a:solidFill>
          <a:ln w="9525" cap="flat" cmpd="sng" algn="ctr">
            <a:solidFill>
              <a:schemeClr val="lt1">
                <a:alpha val="50000"/>
              </a:schemeClr>
            </a:solidFill>
            <a:round/>
          </a:ln>
          <a:effectLst/>
        </c:spPr>
        <c:dLbl>
          <c:idx val="0"/>
          <c:layout>
            <c:manualLayout>
              <c:x val="-1.5834532871929177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tint val="81000"/>
              <a:alpha val="85000"/>
            </a:schemeClr>
          </a:solidFill>
          <a:ln w="9525" cap="flat" cmpd="sng" algn="ctr">
            <a:solidFill>
              <a:schemeClr val="lt1">
                <a:alpha val="50000"/>
              </a:schemeClr>
            </a:solidFill>
            <a:round/>
          </a:ln>
          <a:effectLst/>
        </c:spPr>
        <c:dLbl>
          <c:idx val="0"/>
          <c:layout>
            <c:manualLayout>
              <c:x val="-1.1084173010350423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tint val="69000"/>
              <a:alpha val="85000"/>
            </a:schemeClr>
          </a:solidFill>
          <a:ln w="9525" cap="flat" cmpd="sng" algn="ctr">
            <a:solidFill>
              <a:schemeClr val="lt1">
                <a:alpha val="50000"/>
              </a:schemeClr>
            </a:solidFill>
            <a:round/>
          </a:ln>
          <a:effectLst/>
        </c:spPr>
        <c:dLbl>
          <c:idx val="0"/>
          <c:layout>
            <c:manualLayout>
              <c:x val="-1.1084173010350539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tint val="56000"/>
              <a:alpha val="85000"/>
            </a:schemeClr>
          </a:solidFill>
          <a:ln w="9525" cap="flat" cmpd="sng" algn="ctr">
            <a:solidFill>
              <a:schemeClr val="lt1">
                <a:alpha val="50000"/>
              </a:schemeClr>
            </a:solidFill>
            <a:round/>
          </a:ln>
          <a:effectLst/>
        </c:spPr>
        <c:dLbl>
          <c:idx val="0"/>
          <c:layout>
            <c:manualLayout>
              <c:x val="-1.2667626297543456E-2"/>
              <c:y val="-2.01058432228516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 '!$K$6</c:f>
              <c:strCache>
                <c:ptCount val="1"/>
                <c:pt idx="0">
                  <c:v>[2027]</c:v>
                </c:pt>
              </c:strCache>
            </c:strRef>
          </c:tx>
          <c:spPr>
            <a:solidFill>
              <a:schemeClr val="accent4">
                <a:shade val="42000"/>
                <a:alpha val="85000"/>
              </a:schemeClr>
            </a:solidFill>
            <a:ln w="9525" cap="flat" cmpd="sng" algn="ctr">
              <a:solidFill>
                <a:schemeClr val="lt1">
                  <a:alpha val="50000"/>
                </a:schemeClr>
              </a:solidFill>
              <a:round/>
            </a:ln>
            <a:effectLst/>
          </c:spPr>
          <c:invertIfNegative val="0"/>
          <c:dLbls>
            <c:dLbl>
              <c:idx val="0"/>
              <c:layout>
                <c:manualLayout>
                  <c:x val="-1.7417986159122094E-2"/>
                  <c:y val="-1.58654290303740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'!$K$7</c:f>
              <c:numCache>
                <c:formatCode>"Rp"#,##0</c:formatCode>
                <c:ptCount val="1"/>
                <c:pt idx="0">
                  <c:v>58545450.022500001</c:v>
                </c:pt>
              </c:numCache>
            </c:numRef>
          </c:val>
          <c:extLst>
            <c:ext xmlns:c16="http://schemas.microsoft.com/office/drawing/2014/chart" uri="{C3380CC4-5D6E-409C-BE32-E72D297353CC}">
              <c16:uniqueId val="{00000000-33F4-1A40-8998-80EBA13170F4}"/>
            </c:ext>
          </c:extLst>
        </c:ser>
        <c:ser>
          <c:idx val="1"/>
          <c:order val="1"/>
          <c:tx>
            <c:strRef>
              <c:f>'Database '!$L$6</c:f>
              <c:strCache>
                <c:ptCount val="1"/>
                <c:pt idx="0">
                  <c:v>[2028]</c:v>
                </c:pt>
              </c:strCache>
            </c:strRef>
          </c:tx>
          <c:spPr>
            <a:solidFill>
              <a:schemeClr val="accent4">
                <a:shade val="55000"/>
                <a:alpha val="85000"/>
              </a:schemeClr>
            </a:solidFill>
            <a:ln w="9525" cap="flat" cmpd="sng" algn="ctr">
              <a:solidFill>
                <a:schemeClr val="lt1">
                  <a:alpha val="50000"/>
                </a:schemeClr>
              </a:solidFill>
              <a:round/>
            </a:ln>
            <a:effectLst/>
          </c:spPr>
          <c:invertIfNegative val="0"/>
          <c:dLbls>
            <c:dLbl>
              <c:idx val="0"/>
              <c:layout>
                <c:manualLayout>
                  <c:x val="-9.5007197231575195E-3"/>
                  <c:y val="-2.34484824286405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'!$L$7</c:f>
              <c:numCache>
                <c:formatCode>"Rp"#,##0</c:formatCode>
                <c:ptCount val="1"/>
                <c:pt idx="0">
                  <c:v>62058177.023850009</c:v>
                </c:pt>
              </c:numCache>
            </c:numRef>
          </c:val>
          <c:extLst>
            <c:ext xmlns:c16="http://schemas.microsoft.com/office/drawing/2014/chart" uri="{C3380CC4-5D6E-409C-BE32-E72D297353CC}">
              <c16:uniqueId val="{00000001-33F4-1A40-8998-80EBA13170F4}"/>
            </c:ext>
          </c:extLst>
        </c:ser>
        <c:ser>
          <c:idx val="2"/>
          <c:order val="2"/>
          <c:tx>
            <c:strRef>
              <c:f>'Database '!$M$6</c:f>
              <c:strCache>
                <c:ptCount val="1"/>
                <c:pt idx="0">
                  <c:v>[2029]</c:v>
                </c:pt>
              </c:strCache>
            </c:strRef>
          </c:tx>
          <c:spPr>
            <a:solidFill>
              <a:schemeClr val="accent4">
                <a:shade val="68000"/>
                <a:alpha val="85000"/>
              </a:schemeClr>
            </a:solidFill>
            <a:ln w="9525" cap="flat" cmpd="sng" algn="ctr">
              <a:solidFill>
                <a:schemeClr val="lt1">
                  <a:alpha val="50000"/>
                </a:schemeClr>
              </a:solidFill>
              <a:round/>
            </a:ln>
            <a:effectLst/>
          </c:spPr>
          <c:invertIfNegative val="0"/>
          <c:dLbls>
            <c:dLbl>
              <c:idx val="0"/>
              <c:layout>
                <c:manualLayout>
                  <c:x val="-9.5007197231575351E-3"/>
                  <c:y val="-2.67911216344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'!$M$7</c:f>
              <c:numCache>
                <c:formatCode>"Rp"#,##0</c:formatCode>
                <c:ptCount val="1"/>
                <c:pt idx="0">
                  <c:v>65781667.645281017</c:v>
                </c:pt>
              </c:numCache>
            </c:numRef>
          </c:val>
          <c:extLst>
            <c:ext xmlns:c16="http://schemas.microsoft.com/office/drawing/2014/chart" uri="{C3380CC4-5D6E-409C-BE32-E72D297353CC}">
              <c16:uniqueId val="{00000002-33F4-1A40-8998-80EBA13170F4}"/>
            </c:ext>
          </c:extLst>
        </c:ser>
        <c:ser>
          <c:idx val="3"/>
          <c:order val="3"/>
          <c:tx>
            <c:strRef>
              <c:f>'Database '!$N$6</c:f>
              <c:strCache>
                <c:ptCount val="1"/>
                <c:pt idx="0">
                  <c:v>[2030]</c:v>
                </c:pt>
              </c:strCache>
            </c:strRef>
          </c:tx>
          <c:spPr>
            <a:solidFill>
              <a:schemeClr val="accent4">
                <a:shade val="80000"/>
                <a:alpha val="85000"/>
              </a:schemeClr>
            </a:solidFill>
            <a:ln w="9525" cap="flat" cmpd="sng" algn="ctr">
              <a:solidFill>
                <a:schemeClr val="lt1">
                  <a:alpha val="50000"/>
                </a:schemeClr>
              </a:solidFill>
              <a:round/>
            </a:ln>
            <a:effectLst/>
          </c:spPr>
          <c:invertIfNegative val="0"/>
          <c:dLbls>
            <c:dLbl>
              <c:idx val="0"/>
              <c:layout>
                <c:manualLayout>
                  <c:x val="-1.1084173010350482E-2"/>
                  <c:y val="-2.67911216344294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'!$N$7</c:f>
              <c:numCache>
                <c:formatCode>"Rp"#,##0</c:formatCode>
                <c:ptCount val="1"/>
                <c:pt idx="0">
                  <c:v>69728567.70399788</c:v>
                </c:pt>
              </c:numCache>
            </c:numRef>
          </c:val>
          <c:extLst>
            <c:ext xmlns:c16="http://schemas.microsoft.com/office/drawing/2014/chart" uri="{C3380CC4-5D6E-409C-BE32-E72D297353CC}">
              <c16:uniqueId val="{00000003-33F4-1A40-8998-80EBA13170F4}"/>
            </c:ext>
          </c:extLst>
        </c:ser>
        <c:ser>
          <c:idx val="4"/>
          <c:order val="4"/>
          <c:tx>
            <c:strRef>
              <c:f>'Database '!$O$6</c:f>
              <c:strCache>
                <c:ptCount val="1"/>
                <c:pt idx="0">
                  <c:v>[2031]</c:v>
                </c:pt>
              </c:strCache>
            </c:strRef>
          </c:tx>
          <c:spPr>
            <a:solidFill>
              <a:schemeClr val="accent4">
                <a:shade val="93000"/>
                <a:alpha val="85000"/>
              </a:schemeClr>
            </a:solidFill>
            <a:ln w="9525" cap="flat" cmpd="sng" algn="ctr">
              <a:solidFill>
                <a:schemeClr val="lt1">
                  <a:alpha val="50000"/>
                </a:schemeClr>
              </a:solidFill>
              <a:round/>
            </a:ln>
            <a:effectLst/>
          </c:spPr>
          <c:invertIfNegative val="0"/>
          <c:dLbls>
            <c:dLbl>
              <c:idx val="0"/>
              <c:layout>
                <c:manualLayout>
                  <c:x val="-1.1084173010350482E-2"/>
                  <c:y val="-2.67911216344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'!$O$7</c:f>
              <c:numCache>
                <c:formatCode>"Rp"#,##0</c:formatCode>
                <c:ptCount val="1"/>
                <c:pt idx="0">
                  <c:v>73912281.766237766</c:v>
                </c:pt>
              </c:numCache>
            </c:numRef>
          </c:val>
          <c:extLst>
            <c:ext xmlns:c16="http://schemas.microsoft.com/office/drawing/2014/chart" uri="{C3380CC4-5D6E-409C-BE32-E72D297353CC}">
              <c16:uniqueId val="{00000004-33F4-1A40-8998-80EBA13170F4}"/>
            </c:ext>
          </c:extLst>
        </c:ser>
        <c:ser>
          <c:idx val="5"/>
          <c:order val="5"/>
          <c:tx>
            <c:strRef>
              <c:f>'Database '!$P$6</c:f>
              <c:strCache>
                <c:ptCount val="1"/>
                <c:pt idx="0">
                  <c:v>[2032]</c:v>
                </c:pt>
              </c:strCache>
            </c:strRef>
          </c:tx>
          <c:spPr>
            <a:solidFill>
              <a:schemeClr val="accent4">
                <a:tint val="94000"/>
                <a:alpha val="85000"/>
              </a:schemeClr>
            </a:solidFill>
            <a:ln w="9525" cap="flat" cmpd="sng" algn="ctr">
              <a:solidFill>
                <a:schemeClr val="lt1">
                  <a:alpha val="50000"/>
                </a:schemeClr>
              </a:solidFill>
              <a:round/>
            </a:ln>
            <a:effectLst/>
          </c:spPr>
          <c:invertIfNegative val="0"/>
          <c:dLbls>
            <c:dLbl>
              <c:idx val="0"/>
              <c:layout>
                <c:manualLayout>
                  <c:x val="-1.5834532871929177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'!$P$7</c:f>
              <c:numCache>
                <c:formatCode>"Rp"#,##0</c:formatCode>
                <c:ptCount val="1"/>
                <c:pt idx="0">
                  <c:v>78347018.672212034</c:v>
                </c:pt>
              </c:numCache>
            </c:numRef>
          </c:val>
          <c:extLst>
            <c:ext xmlns:c16="http://schemas.microsoft.com/office/drawing/2014/chart" uri="{C3380CC4-5D6E-409C-BE32-E72D297353CC}">
              <c16:uniqueId val="{00000005-33F4-1A40-8998-80EBA13170F4}"/>
            </c:ext>
          </c:extLst>
        </c:ser>
        <c:ser>
          <c:idx val="6"/>
          <c:order val="6"/>
          <c:tx>
            <c:strRef>
              <c:f>'Database '!$Q$6</c:f>
              <c:strCache>
                <c:ptCount val="1"/>
                <c:pt idx="0">
                  <c:v>[2033]</c:v>
                </c:pt>
              </c:strCache>
            </c:strRef>
          </c:tx>
          <c:spPr>
            <a:solidFill>
              <a:schemeClr val="accent4">
                <a:tint val="81000"/>
                <a:alpha val="85000"/>
              </a:schemeClr>
            </a:solidFill>
            <a:ln w="9525" cap="flat" cmpd="sng" algn="ctr">
              <a:solidFill>
                <a:schemeClr val="lt1">
                  <a:alpha val="50000"/>
                </a:schemeClr>
              </a:solidFill>
              <a:round/>
            </a:ln>
            <a:effectLst/>
          </c:spPr>
          <c:invertIfNegative val="0"/>
          <c:dLbls>
            <c:dLbl>
              <c:idx val="0"/>
              <c:layout>
                <c:manualLayout>
                  <c:x val="-1.1084173010350423E-2"/>
                  <c:y val="-2.67911216344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'!$Q$7</c:f>
              <c:numCache>
                <c:formatCode>"Rp"#,##0</c:formatCode>
                <c:ptCount val="1"/>
                <c:pt idx="0">
                  <c:v>83047839.792544767</c:v>
                </c:pt>
              </c:numCache>
            </c:numRef>
          </c:val>
          <c:extLst>
            <c:ext xmlns:c16="http://schemas.microsoft.com/office/drawing/2014/chart" uri="{C3380CC4-5D6E-409C-BE32-E72D297353CC}">
              <c16:uniqueId val="{00000006-33F4-1A40-8998-80EBA13170F4}"/>
            </c:ext>
          </c:extLst>
        </c:ser>
        <c:ser>
          <c:idx val="7"/>
          <c:order val="7"/>
          <c:tx>
            <c:strRef>
              <c:f>'Database '!$R$6</c:f>
              <c:strCache>
                <c:ptCount val="1"/>
                <c:pt idx="0">
                  <c:v>[2034]</c:v>
                </c:pt>
              </c:strCache>
            </c:strRef>
          </c:tx>
          <c:spPr>
            <a:solidFill>
              <a:schemeClr val="accent4">
                <a:tint val="69000"/>
                <a:alpha val="85000"/>
              </a:schemeClr>
            </a:solidFill>
            <a:ln w="9525" cap="flat" cmpd="sng" algn="ctr">
              <a:solidFill>
                <a:schemeClr val="lt1">
                  <a:alpha val="50000"/>
                </a:schemeClr>
              </a:solidFill>
              <a:round/>
            </a:ln>
            <a:effectLst/>
          </c:spPr>
          <c:invertIfNegative val="0"/>
          <c:dLbls>
            <c:dLbl>
              <c:idx val="0"/>
              <c:layout>
                <c:manualLayout>
                  <c:x val="-1.1084173010350539E-2"/>
                  <c:y val="-2.679112163442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'!$R$7</c:f>
              <c:numCache>
                <c:formatCode>"Rp"#,##0</c:formatCode>
                <c:ptCount val="1"/>
                <c:pt idx="0">
                  <c:v>88030710.180097431</c:v>
                </c:pt>
              </c:numCache>
            </c:numRef>
          </c:val>
          <c:extLst>
            <c:ext xmlns:c16="http://schemas.microsoft.com/office/drawing/2014/chart" uri="{C3380CC4-5D6E-409C-BE32-E72D297353CC}">
              <c16:uniqueId val="{00000007-33F4-1A40-8998-80EBA13170F4}"/>
            </c:ext>
          </c:extLst>
        </c:ser>
        <c:ser>
          <c:idx val="8"/>
          <c:order val="8"/>
          <c:tx>
            <c:strRef>
              <c:f>'Database '!$S$6</c:f>
              <c:strCache>
                <c:ptCount val="1"/>
                <c:pt idx="0">
                  <c:v>[2035]</c:v>
                </c:pt>
              </c:strCache>
            </c:strRef>
          </c:tx>
          <c:spPr>
            <a:solidFill>
              <a:schemeClr val="accent4">
                <a:tint val="56000"/>
                <a:alpha val="85000"/>
              </a:schemeClr>
            </a:solidFill>
            <a:ln w="9525" cap="flat" cmpd="sng" algn="ctr">
              <a:solidFill>
                <a:schemeClr val="lt1">
                  <a:alpha val="50000"/>
                </a:schemeClr>
              </a:solidFill>
              <a:round/>
            </a:ln>
            <a:effectLst/>
          </c:spPr>
          <c:invertIfNegative val="0"/>
          <c:dLbls>
            <c:dLbl>
              <c:idx val="0"/>
              <c:layout>
                <c:manualLayout>
                  <c:x val="-1.2667626297543456E-2"/>
                  <c:y val="-2.01058432228516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'!$S$7</c:f>
              <c:numCache>
                <c:formatCode>"Rp"#,##0</c:formatCode>
                <c:ptCount val="1"/>
                <c:pt idx="0">
                  <c:v>93312552.790903285</c:v>
                </c:pt>
              </c:numCache>
            </c:numRef>
          </c:val>
          <c:extLst>
            <c:ext xmlns:c16="http://schemas.microsoft.com/office/drawing/2014/chart" uri="{C3380CC4-5D6E-409C-BE32-E72D297353CC}">
              <c16:uniqueId val="{00000008-33F4-1A40-8998-80EBA13170F4}"/>
            </c:ext>
          </c:extLst>
        </c:ser>
        <c:ser>
          <c:idx val="9"/>
          <c:order val="9"/>
          <c:tx>
            <c:strRef>
              <c:f>'Database '!$T$6</c:f>
              <c:strCache>
                <c:ptCount val="1"/>
                <c:pt idx="0">
                  <c:v>[2036]</c:v>
                </c:pt>
              </c:strCache>
            </c:strRef>
          </c:tx>
          <c:spPr>
            <a:solidFill>
              <a:schemeClr val="accent4">
                <a:tint val="43000"/>
                <a:alpha val="85000"/>
              </a:schemeClr>
            </a:solidFill>
            <a:ln w="9525" cap="flat" cmpd="sng" algn="ctr">
              <a:solidFill>
                <a:schemeClr val="lt1">
                  <a:alpha val="50000"/>
                </a:schemeClr>
              </a:solidFill>
              <a:round/>
            </a:ln>
            <a:effectLst/>
          </c:spPr>
          <c:invertIfNegative val="0"/>
          <c:dLbls>
            <c:dLbl>
              <c:idx val="0"/>
              <c:layout>
                <c:manualLayout>
                  <c:x val="-1.1172302542434013E-2"/>
                  <c:y val="-1.30207202840810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3F4-1A40-8998-80EBA13170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'Database '!$K$7</c:f>
              <c:strCache>
                <c:ptCount val="1"/>
                <c:pt idx="0">
                  <c:v>Total</c:v>
                </c:pt>
              </c:strCache>
            </c:strRef>
          </c:cat>
          <c:val>
            <c:numRef>
              <c:f>'Database '!$T$7</c:f>
              <c:numCache>
                <c:formatCode>"Rp"#,##0</c:formatCode>
                <c:ptCount val="1"/>
                <c:pt idx="0">
                  <c:v>98911305.958357483</c:v>
                </c:pt>
              </c:numCache>
            </c:numRef>
          </c:val>
          <c:extLst>
            <c:ext xmlns:c16="http://schemas.microsoft.com/office/drawing/2014/chart" uri="{C3380CC4-5D6E-409C-BE32-E72D297353CC}">
              <c16:uniqueId val="{00000009-33F4-1A40-8998-80EBA13170F4}"/>
            </c:ext>
          </c:extLst>
        </c:ser>
        <c:dLbls>
          <c:dLblPos val="inEnd"/>
          <c:showLegendKey val="0"/>
          <c:showVal val="1"/>
          <c:showCatName val="0"/>
          <c:showSerName val="0"/>
          <c:showPercent val="0"/>
          <c:showBubbleSize val="0"/>
        </c:dLbls>
        <c:gapWidth val="65"/>
        <c:axId val="343845056"/>
        <c:axId val="343846768"/>
      </c:barChart>
      <c:catAx>
        <c:axId val="343845056"/>
        <c:scaling>
          <c:orientation val="minMax"/>
        </c:scaling>
        <c:delete val="1"/>
        <c:axPos val="b"/>
        <c:numFmt formatCode="General" sourceLinked="1"/>
        <c:majorTickMark val="none"/>
        <c:minorTickMark val="none"/>
        <c:tickLblPos val="nextTo"/>
        <c:crossAx val="343846768"/>
        <c:crosses val="autoZero"/>
        <c:auto val="1"/>
        <c:lblAlgn val="ctr"/>
        <c:lblOffset val="100"/>
        <c:noMultiLvlLbl val="0"/>
      </c:catAx>
      <c:valAx>
        <c:axId val="3438467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Rp&quot;#,##0" sourceLinked="1"/>
        <c:majorTickMark val="none"/>
        <c:minorTickMark val="none"/>
        <c:tickLblPos val="nextTo"/>
        <c:crossAx val="3438450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[Investment_Growth_Simulation.xlsx]Database !PivotTable4</c:name>
    <c:fmtId val="6"/>
  </c:pivotSource>
  <c:chart>
    <c:title>
      <c:tx>
        <c:rich>
          <a:bodyPr rot="0" spcFirstLastPara="1" vertOverflow="ellipsis" vert="horz" wrap="square" anchor="ctr" anchorCtr="1"/>
          <a:lstStyle/>
          <a:p>
            <a:pPr>
              <a:defRPr sz="1600" b="0" i="0" u="none" strike="noStrike" kern="1200" cap="none" baseline="0">
                <a:solidFill>
                  <a:schemeClr val="bg2">
                    <a:lumMod val="25000"/>
                  </a:schemeClr>
                </a:solidFill>
                <a:latin typeface="Century Gothic" panose="020B0502020202020204" pitchFamily="34" charset="0"/>
                <a:ea typeface="+mn-ea"/>
                <a:cs typeface="+mn-cs"/>
              </a:defRPr>
            </a:pPr>
            <a:r>
              <a:rPr lang="en-US" sz="1600" b="0" i="0">
                <a:solidFill>
                  <a:schemeClr val="bg2">
                    <a:lumMod val="50000"/>
                  </a:schemeClr>
                </a:solidFill>
                <a:latin typeface="Century Gothic" panose="020B0502020202020204" pitchFamily="34" charset="0"/>
              </a:rPr>
              <a:t>Holdings</a:t>
            </a:r>
            <a:r>
              <a:rPr lang="en-US" sz="1600" b="0" i="0" baseline="0">
                <a:solidFill>
                  <a:schemeClr val="bg2">
                    <a:lumMod val="50000"/>
                  </a:schemeClr>
                </a:solidFill>
                <a:latin typeface="Century Gothic" panose="020B0502020202020204" pitchFamily="34" charset="0"/>
              </a:rPr>
              <a:t> Distribution</a:t>
            </a:r>
            <a:endParaRPr lang="en-US" sz="1600" b="0" i="0">
              <a:solidFill>
                <a:schemeClr val="bg2">
                  <a:lumMod val="50000"/>
                </a:schemeClr>
              </a:solidFill>
              <a:latin typeface="Century Gothic" panose="020B0502020202020204" pitchFamily="34" charset="0"/>
            </a:endParaRPr>
          </a:p>
        </c:rich>
      </c:tx>
      <c:layout>
        <c:manualLayout>
          <c:xMode val="edge"/>
          <c:yMode val="edge"/>
          <c:x val="4.8310730874758526E-2"/>
          <c:y val="1.7045456070638516E-2"/>
        </c:manualLayout>
      </c:layout>
      <c:overlay val="0"/>
      <c:spPr>
        <a:noFill/>
        <a:ln>
          <a:noFill/>
        </a:ln>
        <a:effectLst/>
      </c:spPr>
      <c:txPr>
        <a:bodyPr rot="0" spcFirstLastPara="1" vertOverflow="ellipsis" vert="horz" wrap="square" anchor="ctr" anchorCtr="1"/>
        <a:lstStyle/>
        <a:p>
          <a:pPr>
            <a:defRPr sz="1600" b="0" i="0" u="none" strike="noStrike" kern="1200" cap="none" baseline="0">
              <a:solidFill>
                <a:schemeClr val="bg2">
                  <a:lumMod val="25000"/>
                </a:schemeClr>
              </a:solidFill>
              <a:latin typeface="Century Gothic" panose="020B0502020202020204" pitchFamily="34"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4982">
                <a:srgbClr val="9FD7F0"/>
              </a:gs>
              <a:gs pos="0">
                <a:schemeClr val="accent1">
                  <a:lumMod val="5000"/>
                  <a:lumOff val="95000"/>
                </a:schemeClr>
              </a:gs>
              <a:gs pos="74000">
                <a:schemeClr val="accent1">
                  <a:lumMod val="40000"/>
                  <a:lumOff val="60000"/>
                </a:schemeClr>
              </a:gs>
              <a:gs pos="83000">
                <a:schemeClr val="accent1">
                  <a:lumMod val="45000"/>
                  <a:lumOff val="55000"/>
                </a:schemeClr>
              </a:gs>
              <a:gs pos="100000">
                <a:schemeClr val="accent1">
                  <a:lumMod val="60000"/>
                  <a:lumOff val="4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glow>
              <a:schemeClr val="accent1">
                <a:satMod val="17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 '!$L$10</c:f>
              <c:strCache>
                <c:ptCount val="1"/>
                <c:pt idx="0">
                  <c:v>Total</c:v>
                </c:pt>
              </c:strCache>
            </c:strRef>
          </c:tx>
          <c:spPr>
            <a:gradFill flip="none" rotWithShape="1">
              <a:gsLst>
                <a:gs pos="54982">
                  <a:srgbClr val="9FD7F0"/>
                </a:gs>
                <a:gs pos="0">
                  <a:schemeClr val="accent1">
                    <a:lumMod val="5000"/>
                    <a:lumOff val="95000"/>
                  </a:schemeClr>
                </a:gs>
                <a:gs pos="74000">
                  <a:schemeClr val="accent1">
                    <a:lumMod val="40000"/>
                    <a:lumOff val="60000"/>
                  </a:schemeClr>
                </a:gs>
                <a:gs pos="83000">
                  <a:schemeClr val="accent1">
                    <a:lumMod val="45000"/>
                    <a:lumOff val="55000"/>
                  </a:schemeClr>
                </a:gs>
                <a:gs pos="100000">
                  <a:schemeClr val="accent1">
                    <a:lumMod val="60000"/>
                    <a:lumOff val="40000"/>
                  </a:schemeClr>
                </a:gs>
              </a:gsLst>
              <a:lin ang="5400000" scaled="1"/>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miter lim="800000"/>
            </a:ln>
            <a:effectLst>
              <a:glow>
                <a:schemeClr val="accent1">
                  <a:satMod val="175000"/>
                </a:schemeClr>
              </a:glow>
            </a:effectLst>
          </c:spPr>
          <c:invertIfNegative val="0"/>
          <c:cat>
            <c:strRef>
              <c:f>'Database '!$K$11:$K$23</c:f>
              <c:strCache>
                <c:ptCount val="12"/>
                <c:pt idx="0">
                  <c:v>ADRO</c:v>
                </c:pt>
                <c:pt idx="1">
                  <c:v>ASII</c:v>
                </c:pt>
                <c:pt idx="2">
                  <c:v>BBCA</c:v>
                </c:pt>
                <c:pt idx="3">
                  <c:v>BBRI</c:v>
                </c:pt>
                <c:pt idx="4">
                  <c:v>BREN</c:v>
                </c:pt>
                <c:pt idx="5">
                  <c:v>GOTO</c:v>
                </c:pt>
                <c:pt idx="6">
                  <c:v>ICBP</c:v>
                </c:pt>
                <c:pt idx="7">
                  <c:v>INDF</c:v>
                </c:pt>
                <c:pt idx="8">
                  <c:v>ITMG</c:v>
                </c:pt>
                <c:pt idx="9">
                  <c:v>TLKM</c:v>
                </c:pt>
                <c:pt idx="10">
                  <c:v>UNTR</c:v>
                </c:pt>
                <c:pt idx="11">
                  <c:v>UNVR</c:v>
                </c:pt>
              </c:strCache>
            </c:strRef>
          </c:cat>
          <c:val>
            <c:numRef>
              <c:f>'Database '!$L$11:$L$23</c:f>
              <c:numCache>
                <c:formatCode>General</c:formatCode>
                <c:ptCount val="12"/>
                <c:pt idx="0">
                  <c:v>212</c:v>
                </c:pt>
                <c:pt idx="1">
                  <c:v>139</c:v>
                </c:pt>
                <c:pt idx="2">
                  <c:v>178</c:v>
                </c:pt>
                <c:pt idx="3">
                  <c:v>155</c:v>
                </c:pt>
                <c:pt idx="4">
                  <c:v>101</c:v>
                </c:pt>
                <c:pt idx="5">
                  <c:v>56</c:v>
                </c:pt>
                <c:pt idx="6">
                  <c:v>80</c:v>
                </c:pt>
                <c:pt idx="7">
                  <c:v>13</c:v>
                </c:pt>
                <c:pt idx="8">
                  <c:v>63</c:v>
                </c:pt>
                <c:pt idx="9">
                  <c:v>101</c:v>
                </c:pt>
                <c:pt idx="10">
                  <c:v>48</c:v>
                </c:pt>
                <c:pt idx="11">
                  <c:v>47</c:v>
                </c:pt>
              </c:numCache>
            </c:numRef>
          </c:val>
          <c:extLst>
            <c:ext xmlns:c16="http://schemas.microsoft.com/office/drawing/2014/chart" uri="{C3380CC4-5D6E-409C-BE32-E72D297353CC}">
              <c16:uniqueId val="{00000000-8D3A-454E-94A8-AFD3335D1875}"/>
            </c:ext>
          </c:extLst>
        </c:ser>
        <c:dLbls>
          <c:showLegendKey val="0"/>
          <c:showVal val="0"/>
          <c:showCatName val="0"/>
          <c:showSerName val="0"/>
          <c:showPercent val="0"/>
          <c:showBubbleSize val="0"/>
        </c:dLbls>
        <c:gapWidth val="106"/>
        <c:overlap val="-63"/>
        <c:axId val="885150895"/>
        <c:axId val="2054886064"/>
      </c:barChart>
      <c:catAx>
        <c:axId val="885150895"/>
        <c:scaling>
          <c:orientation val="minMax"/>
        </c:scaling>
        <c:delete val="0"/>
        <c:axPos val="b"/>
        <c:majorGridlines>
          <c:spPr>
            <a:ln w="9525" cap="flat" cmpd="sng" algn="ctr">
              <a:solidFill>
                <a:schemeClr val="bg2">
                  <a:lumMod val="50000"/>
                  <a:alpha val="3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2054886064"/>
        <c:crosses val="autoZero"/>
        <c:auto val="1"/>
        <c:lblAlgn val="ctr"/>
        <c:lblOffset val="100"/>
        <c:noMultiLvlLbl val="0"/>
      </c:catAx>
      <c:valAx>
        <c:axId val="2054886064"/>
        <c:scaling>
          <c:orientation val="minMax"/>
        </c:scaling>
        <c:delete val="0"/>
        <c:axPos val="l"/>
        <c:majorGridlines>
          <c:spPr>
            <a:ln w="9525" cap="flat" cmpd="sng" algn="ctr">
              <a:solidFill>
                <a:schemeClr val="bg2">
                  <a:lumMod val="50000"/>
                  <a:alpha val="32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25000"/>
                  </a:schemeClr>
                </a:solidFill>
                <a:latin typeface="+mn-lt"/>
                <a:ea typeface="+mn-ea"/>
                <a:cs typeface="+mn-cs"/>
              </a:defRPr>
            </a:pPr>
            <a:endParaRPr lang="en-US"/>
          </a:p>
        </c:txPr>
        <c:crossAx val="88515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normalizeH="0" baseline="0">
                <a:solidFill>
                  <a:schemeClr val="dk1">
                    <a:lumMod val="50000"/>
                    <a:lumOff val="50000"/>
                  </a:schemeClr>
                </a:solidFill>
                <a:latin typeface="Century Gothic" panose="020B0502020202020204" pitchFamily="34" charset="0"/>
                <a:ea typeface="+mj-ea"/>
                <a:cs typeface="+mj-cs"/>
              </a:defRPr>
            </a:pPr>
            <a:r>
              <a:rPr lang="en-US" b="0" i="0">
                <a:latin typeface="Century Gothic" panose="020B0502020202020204" pitchFamily="34" charset="0"/>
              </a:rPr>
              <a:t>Sector</a:t>
            </a:r>
            <a:r>
              <a:rPr lang="en-US" b="0" i="0" baseline="0">
                <a:latin typeface="Century Gothic" panose="020B0502020202020204" pitchFamily="34" charset="0"/>
              </a:rPr>
              <a:t> Distributions</a:t>
            </a:r>
            <a:endParaRPr lang="en-US" b="0" i="0">
              <a:latin typeface="Century Gothic" panose="020B0502020202020204" pitchFamily="34" charset="0"/>
            </a:endParaRPr>
          </a:p>
        </c:rich>
      </c:tx>
      <c:layout>
        <c:manualLayout>
          <c:xMode val="edge"/>
          <c:yMode val="edge"/>
          <c:x val="9.1339366398202199E-2"/>
          <c:y val="1.6801822111303738E-2"/>
        </c:manualLayout>
      </c:layout>
      <c:overlay val="0"/>
      <c:spPr>
        <a:noFill/>
        <a:ln>
          <a:noFill/>
        </a:ln>
        <a:effectLst/>
      </c:spPr>
      <c:txPr>
        <a:bodyPr rot="0" spcFirstLastPara="1" vertOverflow="ellipsis" vert="horz" wrap="square" anchor="ctr" anchorCtr="1"/>
        <a:lstStyle/>
        <a:p>
          <a:pPr>
            <a:defRPr sz="1600" b="0" i="0" u="none" strike="noStrike" kern="1200" spc="0" normalizeH="0" baseline="0">
              <a:solidFill>
                <a:schemeClr val="dk1">
                  <a:lumMod val="50000"/>
                  <a:lumOff val="50000"/>
                </a:schemeClr>
              </a:solidFill>
              <a:latin typeface="Century Gothic" panose="020B0502020202020204" pitchFamily="34" charset="0"/>
              <a:ea typeface="+mj-ea"/>
              <a:cs typeface="+mj-cs"/>
            </a:defRPr>
          </a:pPr>
          <a:endParaRPr lang="en-US"/>
        </a:p>
      </c:txPr>
    </c:title>
    <c:autoTitleDeleted val="0"/>
    <c:plotArea>
      <c:layout>
        <c:manualLayout>
          <c:layoutTarget val="inner"/>
          <c:xMode val="edge"/>
          <c:yMode val="edge"/>
          <c:x val="0.14779503193888166"/>
          <c:y val="0.14589485181586684"/>
          <c:w val="0.52209880570503842"/>
          <c:h val="0.81042041069474346"/>
        </c:manualLayout>
      </c:layout>
      <c:doughnutChart>
        <c:varyColors val="1"/>
        <c:ser>
          <c:idx val="0"/>
          <c:order val="0"/>
          <c:tx>
            <c:strRef>
              <c:f>'Database '!$D$10</c:f>
              <c:strCache>
                <c:ptCount val="1"/>
                <c:pt idx="0">
                  <c:v>Total Lot</c:v>
                </c:pt>
              </c:strCache>
            </c:strRef>
          </c:tx>
          <c:spPr>
            <a:ln>
              <a:solidFill>
                <a:schemeClr val="bg2">
                  <a:lumMod val="50000"/>
                  <a:alpha val="41000"/>
                </a:schemeClr>
              </a:solidFill>
            </a:ln>
          </c:spPr>
          <c:dPt>
            <c:idx val="0"/>
            <c:bubble3D val="0"/>
            <c:spPr>
              <a:gradFill>
                <a:gsLst>
                  <a:gs pos="100000">
                    <a:schemeClr val="accent1">
                      <a:lumMod val="60000"/>
                      <a:lumOff val="40000"/>
                    </a:schemeClr>
                  </a:gs>
                  <a:gs pos="0">
                    <a:schemeClr val="accent1"/>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1-67BE-EA46-AC75-DEDA306723CA}"/>
              </c:ext>
            </c:extLst>
          </c:dPt>
          <c:dPt>
            <c:idx val="1"/>
            <c:bubble3D val="0"/>
            <c:spPr>
              <a:gradFill>
                <a:gsLst>
                  <a:gs pos="100000">
                    <a:schemeClr val="accent2">
                      <a:lumMod val="60000"/>
                      <a:lumOff val="40000"/>
                    </a:schemeClr>
                  </a:gs>
                  <a:gs pos="0">
                    <a:schemeClr val="accent2"/>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3-67BE-EA46-AC75-DEDA306723CA}"/>
              </c:ext>
            </c:extLst>
          </c:dPt>
          <c:dPt>
            <c:idx val="2"/>
            <c:bubble3D val="0"/>
            <c:spPr>
              <a:gradFill>
                <a:gsLst>
                  <a:gs pos="100000">
                    <a:schemeClr val="accent3">
                      <a:lumMod val="60000"/>
                      <a:lumOff val="40000"/>
                    </a:schemeClr>
                  </a:gs>
                  <a:gs pos="0">
                    <a:schemeClr val="accent3"/>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5-67BE-EA46-AC75-DEDA306723CA}"/>
              </c:ext>
            </c:extLst>
          </c:dPt>
          <c:dPt>
            <c:idx val="3"/>
            <c:bubble3D val="0"/>
            <c:spPr>
              <a:gradFill>
                <a:gsLst>
                  <a:gs pos="100000">
                    <a:schemeClr val="accent4">
                      <a:lumMod val="60000"/>
                      <a:lumOff val="40000"/>
                    </a:schemeClr>
                  </a:gs>
                  <a:gs pos="0">
                    <a:schemeClr val="accent4"/>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7-67BE-EA46-AC75-DEDA306723CA}"/>
              </c:ext>
            </c:extLst>
          </c:dPt>
          <c:dPt>
            <c:idx val="4"/>
            <c:bubble3D val="0"/>
            <c:spPr>
              <a:gradFill>
                <a:gsLst>
                  <a:gs pos="100000">
                    <a:schemeClr val="accent5">
                      <a:lumMod val="60000"/>
                      <a:lumOff val="40000"/>
                    </a:schemeClr>
                  </a:gs>
                  <a:gs pos="0">
                    <a:schemeClr val="accent5"/>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9-67BE-EA46-AC75-DEDA306723CA}"/>
              </c:ext>
            </c:extLst>
          </c:dPt>
          <c:dPt>
            <c:idx val="5"/>
            <c:bubble3D val="0"/>
            <c:spPr>
              <a:gradFill>
                <a:gsLst>
                  <a:gs pos="100000">
                    <a:schemeClr val="accent6">
                      <a:lumMod val="60000"/>
                      <a:lumOff val="40000"/>
                    </a:schemeClr>
                  </a:gs>
                  <a:gs pos="0">
                    <a:schemeClr val="accent6"/>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B-67BE-EA46-AC75-DEDA306723C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D-67BE-EA46-AC75-DEDA306723C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0F-67BE-EA46-AC75-DEDA306723CA}"/>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11-67BE-EA46-AC75-DEDA306723C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13-67BE-EA46-AC75-DEDA306723CA}"/>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15-67BE-EA46-AC75-DEDA306723CA}"/>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bg2">
                    <a:lumMod val="50000"/>
                    <a:alpha val="41000"/>
                  </a:schemeClr>
                </a:solidFill>
              </a:ln>
              <a:effectLst/>
            </c:spPr>
            <c:extLst>
              <c:ext xmlns:c16="http://schemas.microsoft.com/office/drawing/2014/chart" uri="{C3380CC4-5D6E-409C-BE32-E72D297353CC}">
                <c16:uniqueId val="{00000017-67BE-EA46-AC75-DEDA306723C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'Database '!$C$11:$C$22</c:f>
              <c:strCache>
                <c:ptCount val="12"/>
                <c:pt idx="0">
                  <c:v>Energy</c:v>
                </c:pt>
                <c:pt idx="1">
                  <c:v>Industrials</c:v>
                </c:pt>
                <c:pt idx="2">
                  <c:v>Financials</c:v>
                </c:pt>
                <c:pt idx="3">
                  <c:v>Financials</c:v>
                </c:pt>
                <c:pt idx="4">
                  <c:v>Infrastructures</c:v>
                </c:pt>
                <c:pt idx="5">
                  <c:v>Technology</c:v>
                </c:pt>
                <c:pt idx="6">
                  <c:v>Consumer Non-Cyclicals</c:v>
                </c:pt>
                <c:pt idx="7">
                  <c:v>Consumer Non-Cyclicals</c:v>
                </c:pt>
                <c:pt idx="8">
                  <c:v>Energy</c:v>
                </c:pt>
                <c:pt idx="9">
                  <c:v>Infrastructures</c:v>
                </c:pt>
                <c:pt idx="10">
                  <c:v>Industrials</c:v>
                </c:pt>
                <c:pt idx="11">
                  <c:v>Consumer Non-Cyclicals</c:v>
                </c:pt>
              </c:strCache>
            </c:strRef>
          </c:cat>
          <c:val>
            <c:numRef>
              <c:f>'Database '!$D$11:$D$22</c:f>
              <c:numCache>
                <c:formatCode>General</c:formatCode>
                <c:ptCount val="12"/>
                <c:pt idx="0">
                  <c:v>212</c:v>
                </c:pt>
                <c:pt idx="1">
                  <c:v>139</c:v>
                </c:pt>
                <c:pt idx="2">
                  <c:v>178</c:v>
                </c:pt>
                <c:pt idx="3">
                  <c:v>155</c:v>
                </c:pt>
                <c:pt idx="4">
                  <c:v>101</c:v>
                </c:pt>
                <c:pt idx="5">
                  <c:v>56</c:v>
                </c:pt>
                <c:pt idx="6">
                  <c:v>80</c:v>
                </c:pt>
                <c:pt idx="7">
                  <c:v>13</c:v>
                </c:pt>
                <c:pt idx="8">
                  <c:v>63</c:v>
                </c:pt>
                <c:pt idx="9">
                  <c:v>101</c:v>
                </c:pt>
                <c:pt idx="10">
                  <c:v>48</c:v>
                </c:pt>
                <c:pt idx="11">
                  <c:v>47</c:v>
                </c:pt>
              </c:numCache>
            </c:numRef>
          </c:val>
          <c:extLst>
            <c:ext xmlns:c16="http://schemas.microsoft.com/office/drawing/2014/chart" uri="{C3380CC4-5D6E-409C-BE32-E72D297353CC}">
              <c16:uniqueId val="{00000018-67BE-EA46-AC75-DEDA306723CA}"/>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0</xdr:rowOff>
    </xdr:from>
    <xdr:to>
      <xdr:col>3</xdr:col>
      <xdr:colOff>153516</xdr:colOff>
      <xdr:row>58</xdr:row>
      <xdr:rowOff>50800</xdr:rowOff>
    </xdr:to>
    <xdr:sp macro="" textlink="">
      <xdr:nvSpPr>
        <xdr:cNvPr id="3" name="Rectangle 2">
          <a:extLst>
            <a:ext uri="{FF2B5EF4-FFF2-40B4-BE49-F238E27FC236}">
              <a16:creationId xmlns:a16="http://schemas.microsoft.com/office/drawing/2014/main" id="{380CB27D-231B-8865-48C0-77696F419259}"/>
            </a:ext>
          </a:extLst>
        </xdr:cNvPr>
        <xdr:cNvSpPr/>
      </xdr:nvSpPr>
      <xdr:spPr>
        <a:xfrm>
          <a:off x="12700" y="0"/>
          <a:ext cx="2611036" cy="12332119"/>
        </a:xfrm>
        <a:prstGeom prst="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274236</xdr:colOff>
      <xdr:row>8</xdr:row>
      <xdr:rowOff>21628</xdr:rowOff>
    </xdr:from>
    <xdr:to>
      <xdr:col>17</xdr:col>
      <xdr:colOff>544111</xdr:colOff>
      <xdr:row>14</xdr:row>
      <xdr:rowOff>171024</xdr:rowOff>
    </xdr:to>
    <xdr:sp macro="" textlink="">
      <xdr:nvSpPr>
        <xdr:cNvPr id="16" name="Rounded Rectangle 15">
          <a:extLst>
            <a:ext uri="{FF2B5EF4-FFF2-40B4-BE49-F238E27FC236}">
              <a16:creationId xmlns:a16="http://schemas.microsoft.com/office/drawing/2014/main" id="{59CA9885-60CA-0147-8E5A-527D345405EC}"/>
            </a:ext>
          </a:extLst>
        </xdr:cNvPr>
        <xdr:cNvSpPr>
          <a:spLocks noChangeAspect="1"/>
        </xdr:cNvSpPr>
      </xdr:nvSpPr>
      <xdr:spPr>
        <a:xfrm>
          <a:off x="11801928" y="1835914"/>
          <a:ext cx="2740095" cy="1405440"/>
        </a:xfrm>
        <a:prstGeom prst="roundRect">
          <a:avLst/>
        </a:prstGeom>
        <a:solidFill>
          <a:schemeClr val="bg1"/>
        </a:solidFill>
        <a:ln>
          <a:solidFill>
            <a:schemeClr val="bg2"/>
          </a:solidFill>
        </a:ln>
        <a:effectLst>
          <a:outerShdw blurRad="123695" dist="38100" dir="5400000" algn="t"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5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endParaRPr lang="en-US" sz="5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r>
            <a:rPr lang="en-US" sz="16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a:t>
          </a:r>
          <a:r>
            <a:rPr lang="en-US" sz="17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Total </a:t>
          </a:r>
          <a:r>
            <a:rPr lang="en-US" sz="16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Invested</a:t>
          </a:r>
          <a:r>
            <a:rPr lang="en-US" sz="16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a:t>
          </a:r>
          <a:endParaRPr lang="en-US" sz="16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xdr:txBody>
    </xdr:sp>
    <xdr:clientData/>
  </xdr:twoCellAnchor>
  <xdr:twoCellAnchor>
    <xdr:from>
      <xdr:col>17</xdr:col>
      <xdr:colOff>807636</xdr:colOff>
      <xdr:row>8</xdr:row>
      <xdr:rowOff>23406</xdr:rowOff>
    </xdr:from>
    <xdr:to>
      <xdr:col>21</xdr:col>
      <xdr:colOff>252011</xdr:colOff>
      <xdr:row>14</xdr:row>
      <xdr:rowOff>169246</xdr:rowOff>
    </xdr:to>
    <xdr:sp macro="" textlink="">
      <xdr:nvSpPr>
        <xdr:cNvPr id="18" name="Rounded Rectangle 17">
          <a:extLst>
            <a:ext uri="{FF2B5EF4-FFF2-40B4-BE49-F238E27FC236}">
              <a16:creationId xmlns:a16="http://schemas.microsoft.com/office/drawing/2014/main" id="{8393E9F4-AC31-A741-B349-FC2F5E57C46B}"/>
            </a:ext>
          </a:extLst>
        </xdr:cNvPr>
        <xdr:cNvSpPr>
          <a:spLocks noChangeAspect="1"/>
        </xdr:cNvSpPr>
      </xdr:nvSpPr>
      <xdr:spPr>
        <a:xfrm>
          <a:off x="14805548" y="1837692"/>
          <a:ext cx="2738001" cy="1401884"/>
        </a:xfrm>
        <a:prstGeom prst="roundRect">
          <a:avLst/>
        </a:prstGeom>
        <a:solidFill>
          <a:schemeClr val="bg1"/>
        </a:solidFill>
        <a:ln>
          <a:solidFill>
            <a:schemeClr val="bg2"/>
          </a:solidFill>
        </a:ln>
        <a:effectLst>
          <a:outerShdw blurRad="123695" dist="38100" dir="5400000" algn="t"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500" b="0" i="0">
            <a:solidFill>
              <a:schemeClr val="bg2">
                <a:lumMod val="50000"/>
              </a:schemeClr>
            </a:solidFill>
            <a:latin typeface="Century Gothic" panose="020B0502020202020204" pitchFamily="34" charset="0"/>
          </a:endParaRPr>
        </a:p>
        <a:p>
          <a:pPr algn="l"/>
          <a:r>
            <a:rPr lang="en-US" sz="500" b="0" i="0">
              <a:solidFill>
                <a:schemeClr val="bg2">
                  <a:lumMod val="50000"/>
                </a:schemeClr>
              </a:solidFill>
              <a:latin typeface="Century Gothic" panose="020B0502020202020204" pitchFamily="34" charset="0"/>
            </a:rPr>
            <a:t> </a:t>
          </a:r>
        </a:p>
        <a:p>
          <a:pPr algn="l"/>
          <a:r>
            <a:rPr lang="en-US" sz="1600" b="0" i="0">
              <a:solidFill>
                <a:schemeClr val="bg2">
                  <a:lumMod val="50000"/>
                </a:schemeClr>
              </a:solidFill>
              <a:latin typeface="Century Gothic" panose="020B0502020202020204" pitchFamily="34" charset="0"/>
            </a:rPr>
            <a:t>  Cash Balance</a:t>
          </a:r>
          <a:endParaRPr lang="en-US" sz="1700" b="0" i="0">
            <a:solidFill>
              <a:schemeClr val="bg2">
                <a:lumMod val="50000"/>
              </a:schemeClr>
            </a:solidFill>
            <a:latin typeface="Century Gothic" panose="020B0502020202020204" pitchFamily="34" charset="0"/>
          </a:endParaRPr>
        </a:p>
      </xdr:txBody>
    </xdr:sp>
    <xdr:clientData/>
  </xdr:twoCellAnchor>
  <xdr:oneCellAnchor>
    <xdr:from>
      <xdr:col>16</xdr:col>
      <xdr:colOff>60563</xdr:colOff>
      <xdr:row>2</xdr:row>
      <xdr:rowOff>3079</xdr:rowOff>
    </xdr:from>
    <xdr:ext cx="4310988" cy="968983"/>
    <xdr:sp macro="" textlink="">
      <xdr:nvSpPr>
        <xdr:cNvPr id="19" name="TextBox 18">
          <a:extLst>
            <a:ext uri="{FF2B5EF4-FFF2-40B4-BE49-F238E27FC236}">
              <a16:creationId xmlns:a16="http://schemas.microsoft.com/office/drawing/2014/main" id="{350401D8-5B07-4E65-33EF-2B8B232CD494}"/>
            </a:ext>
          </a:extLst>
        </xdr:cNvPr>
        <xdr:cNvSpPr txBox="1"/>
      </xdr:nvSpPr>
      <xdr:spPr>
        <a:xfrm>
          <a:off x="13299351" y="561109"/>
          <a:ext cx="4310988" cy="9689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i="0">
              <a:ln>
                <a:solidFill>
                  <a:schemeClr val="bg2">
                    <a:lumMod val="25000"/>
                  </a:schemeClr>
                </a:solidFill>
              </a:ln>
              <a:solidFill>
                <a:schemeClr val="tx1">
                  <a:lumMod val="65000"/>
                  <a:lumOff val="35000"/>
                </a:schemeClr>
              </a:solidFill>
              <a:latin typeface="Aptos Display" panose="020B0004020202020204" pitchFamily="34" charset="0"/>
            </a:rPr>
            <a:t>INVESTMENT SIMULATION</a:t>
          </a:r>
        </a:p>
        <a:p>
          <a:pPr algn="r"/>
          <a:r>
            <a:rPr lang="en-US" sz="2800" b="1" i="0">
              <a:ln>
                <a:solidFill>
                  <a:schemeClr val="bg2">
                    <a:lumMod val="25000"/>
                  </a:schemeClr>
                </a:solidFill>
              </a:ln>
              <a:solidFill>
                <a:schemeClr val="tx1">
                  <a:lumMod val="65000"/>
                  <a:lumOff val="35000"/>
                </a:schemeClr>
              </a:solidFill>
              <a:latin typeface="Aptos Display" panose="020B0004020202020204" pitchFamily="34" charset="0"/>
            </a:rPr>
            <a:t>DASHBOARD</a:t>
          </a:r>
        </a:p>
      </xdr:txBody>
    </xdr:sp>
    <xdr:clientData/>
  </xdr:oneCellAnchor>
  <xdr:oneCellAnchor>
    <xdr:from>
      <xdr:col>18</xdr:col>
      <xdr:colOff>820336</xdr:colOff>
      <xdr:row>11</xdr:row>
      <xdr:rowOff>142278</xdr:rowOff>
    </xdr:from>
    <xdr:ext cx="1770228" cy="488403"/>
    <xdr:sp macro="" textlink="'Database '!B3">
      <xdr:nvSpPr>
        <xdr:cNvPr id="20" name="TextBox 19">
          <a:extLst>
            <a:ext uri="{FF2B5EF4-FFF2-40B4-BE49-F238E27FC236}">
              <a16:creationId xmlns:a16="http://schemas.microsoft.com/office/drawing/2014/main" id="{2FB658B6-508D-DB71-F242-0F4A13431A5F}"/>
            </a:ext>
          </a:extLst>
        </xdr:cNvPr>
        <xdr:cNvSpPr txBox="1"/>
      </xdr:nvSpPr>
      <xdr:spPr>
        <a:xfrm>
          <a:off x="15641655" y="2584586"/>
          <a:ext cx="1770228" cy="488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E52F4C32-272E-3D45-8DF5-C420E40B90A4}" type="TxLink">
            <a:rPr lang="en-US" sz="1800" b="1" i="0" u="none" strike="noStrike">
              <a:solidFill>
                <a:schemeClr val="bg2">
                  <a:lumMod val="25000"/>
                </a:schemeClr>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rPr>
            <a:pPr algn="r"/>
            <a:t>Rp65.645.225</a:t>
          </a:fld>
          <a:endParaRPr lang="en-US" sz="1600" b="1" i="0">
            <a:solidFill>
              <a:schemeClr val="bg2">
                <a:lumMod val="25000"/>
              </a:schemeClr>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endParaRPr>
        </a:p>
      </xdr:txBody>
    </xdr:sp>
    <xdr:clientData/>
  </xdr:oneCellAnchor>
  <xdr:twoCellAnchor>
    <xdr:from>
      <xdr:col>14</xdr:col>
      <xdr:colOff>274236</xdr:colOff>
      <xdr:row>16</xdr:row>
      <xdr:rowOff>15278</xdr:rowOff>
    </xdr:from>
    <xdr:to>
      <xdr:col>17</xdr:col>
      <xdr:colOff>544111</xdr:colOff>
      <xdr:row>22</xdr:row>
      <xdr:rowOff>158534</xdr:rowOff>
    </xdr:to>
    <xdr:sp macro="" textlink="">
      <xdr:nvSpPr>
        <xdr:cNvPr id="21" name="Rounded Rectangle 20">
          <a:extLst>
            <a:ext uri="{FF2B5EF4-FFF2-40B4-BE49-F238E27FC236}">
              <a16:creationId xmlns:a16="http://schemas.microsoft.com/office/drawing/2014/main" id="{A7B6266E-B11E-7A4F-95F4-4F5FC28FA8E7}"/>
            </a:ext>
          </a:extLst>
        </xdr:cNvPr>
        <xdr:cNvSpPr>
          <a:spLocks noChangeAspect="1"/>
        </xdr:cNvSpPr>
      </xdr:nvSpPr>
      <xdr:spPr>
        <a:xfrm>
          <a:off x="11801928" y="3504289"/>
          <a:ext cx="2740095" cy="1399300"/>
        </a:xfrm>
        <a:prstGeom prst="roundRect">
          <a:avLst/>
        </a:prstGeom>
        <a:solidFill>
          <a:schemeClr val="bg1"/>
        </a:solidFill>
        <a:ln>
          <a:solidFill>
            <a:schemeClr val="bg2"/>
          </a:solidFill>
        </a:ln>
        <a:effectLst>
          <a:outerShdw blurRad="123695" dist="38100" dir="5400000" algn="t"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5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endParaRPr lang="en-US" sz="5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r>
            <a:rPr lang="en-US" sz="17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a:t>
          </a:r>
          <a:r>
            <a:rPr lang="en-US" sz="16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Total Equity</a:t>
          </a:r>
          <a:r>
            <a:rPr lang="en-US" sz="16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a:t>
          </a:r>
          <a:endParaRPr lang="en-US" sz="17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xdr:txBody>
    </xdr:sp>
    <xdr:clientData/>
  </xdr:twoCellAnchor>
  <xdr:twoCellAnchor>
    <xdr:from>
      <xdr:col>17</xdr:col>
      <xdr:colOff>807636</xdr:colOff>
      <xdr:row>16</xdr:row>
      <xdr:rowOff>15278</xdr:rowOff>
    </xdr:from>
    <xdr:to>
      <xdr:col>21</xdr:col>
      <xdr:colOff>252011</xdr:colOff>
      <xdr:row>22</xdr:row>
      <xdr:rowOff>158534</xdr:rowOff>
    </xdr:to>
    <xdr:sp macro="" textlink="">
      <xdr:nvSpPr>
        <xdr:cNvPr id="22" name="Rounded Rectangle 21">
          <a:extLst>
            <a:ext uri="{FF2B5EF4-FFF2-40B4-BE49-F238E27FC236}">
              <a16:creationId xmlns:a16="http://schemas.microsoft.com/office/drawing/2014/main" id="{2ECF5A15-D7C7-E74C-8386-EB5BEB603BA7}"/>
            </a:ext>
          </a:extLst>
        </xdr:cNvPr>
        <xdr:cNvSpPr>
          <a:spLocks noChangeAspect="1"/>
        </xdr:cNvSpPr>
      </xdr:nvSpPr>
      <xdr:spPr>
        <a:xfrm>
          <a:off x="14805548" y="3504289"/>
          <a:ext cx="2738001" cy="1399300"/>
        </a:xfrm>
        <a:prstGeom prst="roundRect">
          <a:avLst/>
        </a:prstGeom>
        <a:solidFill>
          <a:schemeClr val="bg1"/>
        </a:solidFill>
        <a:ln>
          <a:solidFill>
            <a:schemeClr val="bg2"/>
          </a:solidFill>
        </a:ln>
        <a:effectLst>
          <a:outerShdw blurRad="123695" dist="38100" dir="5400000" algn="t"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5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endParaRPr lang="en-US" sz="5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a:p>
          <a:pPr algn="l"/>
          <a:r>
            <a:rPr lang="en-US" sz="17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a:t>
          </a:r>
          <a:r>
            <a:rPr lang="en-US" sz="16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Dividend</a:t>
          </a:r>
          <a:r>
            <a:rPr lang="en-US" sz="1600" b="0" i="0" baseline="0">
              <a:solidFill>
                <a:schemeClr val="bg2">
                  <a:lumMod val="50000"/>
                </a:schemeClr>
              </a:solidFill>
              <a:latin typeface="Century Gothic" panose="020B0502020202020204" pitchFamily="34" charset="0"/>
              <a:ea typeface="Microsoft YaHei" panose="020B0503020204020204" pitchFamily="34" charset="-122"/>
              <a:cs typeface="Al Nile" pitchFamily="2" charset="-78"/>
            </a:rPr>
            <a:t> Received</a:t>
          </a:r>
          <a:endParaRPr lang="en-US" sz="1700" b="0" i="0">
            <a:solidFill>
              <a:schemeClr val="bg2">
                <a:lumMod val="50000"/>
              </a:schemeClr>
            </a:solidFill>
            <a:latin typeface="Century Gothic" panose="020B0502020202020204" pitchFamily="34" charset="0"/>
            <a:ea typeface="Microsoft YaHei" panose="020B0503020204020204" pitchFamily="34" charset="-122"/>
            <a:cs typeface="Al Nile" pitchFamily="2" charset="-78"/>
          </a:endParaRPr>
        </a:p>
      </xdr:txBody>
    </xdr:sp>
    <xdr:clientData/>
  </xdr:twoCellAnchor>
  <xdr:twoCellAnchor>
    <xdr:from>
      <xdr:col>14</xdr:col>
      <xdr:colOff>172636</xdr:colOff>
      <xdr:row>24</xdr:row>
      <xdr:rowOff>120577</xdr:rowOff>
    </xdr:from>
    <xdr:to>
      <xdr:col>21</xdr:col>
      <xdr:colOff>299636</xdr:colOff>
      <xdr:row>44</xdr:row>
      <xdr:rowOff>133277</xdr:rowOff>
    </xdr:to>
    <xdr:sp macro="" textlink="">
      <xdr:nvSpPr>
        <xdr:cNvPr id="25" name="Rounded Rectangle 24">
          <a:extLst>
            <a:ext uri="{FF2B5EF4-FFF2-40B4-BE49-F238E27FC236}">
              <a16:creationId xmlns:a16="http://schemas.microsoft.com/office/drawing/2014/main" id="{A662C1E6-4454-5335-30EC-3AD1DC467D9E}"/>
            </a:ext>
          </a:extLst>
        </xdr:cNvPr>
        <xdr:cNvSpPr/>
      </xdr:nvSpPr>
      <xdr:spPr>
        <a:xfrm>
          <a:off x="11750310" y="5230112"/>
          <a:ext cx="5915838" cy="4147584"/>
        </a:xfrm>
        <a:prstGeom prst="roundRect">
          <a:avLst/>
        </a:prstGeom>
        <a:solidFill>
          <a:schemeClr val="bg1"/>
        </a:solidFill>
        <a:ln>
          <a:solidFill>
            <a:schemeClr val="bg2"/>
          </a:solidFill>
        </a:ln>
        <a:effectLst>
          <a:outerShdw blurRad="50800" dist="38100" dir="5400000" algn="t" rotWithShape="0">
            <a:schemeClr val="bg2">
              <a:lumMod val="75000"/>
              <a:alpha val="63744"/>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474504</xdr:colOff>
      <xdr:row>1</xdr:row>
      <xdr:rowOff>152400</xdr:rowOff>
    </xdr:from>
    <xdr:to>
      <xdr:col>13</xdr:col>
      <xdr:colOff>781537</xdr:colOff>
      <xdr:row>22</xdr:row>
      <xdr:rowOff>167472</xdr:rowOff>
    </xdr:to>
    <xdr:sp macro="" textlink="">
      <xdr:nvSpPr>
        <xdr:cNvPr id="29" name="Rounded Rectangle 28">
          <a:extLst>
            <a:ext uri="{FF2B5EF4-FFF2-40B4-BE49-F238E27FC236}">
              <a16:creationId xmlns:a16="http://schemas.microsoft.com/office/drawing/2014/main" id="{A925B023-156B-454F-8522-70A4DD337810}"/>
            </a:ext>
          </a:extLst>
        </xdr:cNvPr>
        <xdr:cNvSpPr>
          <a:spLocks noChangeAspect="1"/>
        </xdr:cNvSpPr>
      </xdr:nvSpPr>
      <xdr:spPr>
        <a:xfrm>
          <a:off x="2944724" y="501301"/>
          <a:ext cx="8541099" cy="4411226"/>
        </a:xfrm>
        <a:prstGeom prst="roundRect">
          <a:avLst/>
        </a:prstGeom>
        <a:solidFill>
          <a:schemeClr val="bg1"/>
        </a:solidFill>
        <a:ln>
          <a:solidFill>
            <a:schemeClr val="bg2"/>
          </a:solidFill>
        </a:ln>
        <a:effectLst>
          <a:outerShdw blurRad="50800" dist="38100" dir="5400000" algn="t" rotWithShape="0">
            <a:schemeClr val="bg2">
              <a:lumMod val="75000"/>
              <a:alpha val="63744"/>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165755</xdr:colOff>
      <xdr:row>11</xdr:row>
      <xdr:rowOff>142278</xdr:rowOff>
    </xdr:from>
    <xdr:ext cx="1912576" cy="488403"/>
    <xdr:sp macro="" textlink="'Database '!B4">
      <xdr:nvSpPr>
        <xdr:cNvPr id="31" name="TextBox 30">
          <a:extLst>
            <a:ext uri="{FF2B5EF4-FFF2-40B4-BE49-F238E27FC236}">
              <a16:creationId xmlns:a16="http://schemas.microsoft.com/office/drawing/2014/main" id="{35BF8055-F587-F04E-9CE8-C7F9E8FFE6C7}"/>
            </a:ext>
          </a:extLst>
        </xdr:cNvPr>
        <xdr:cNvSpPr txBox="1"/>
      </xdr:nvSpPr>
      <xdr:spPr>
        <a:xfrm>
          <a:off x="12516854" y="2584586"/>
          <a:ext cx="1912576" cy="488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1295894E-7602-1140-A5B4-C65C1B618F4C}" type="TxLink">
            <a:rPr lang="en-US" sz="1800" b="1" i="0" u="none" strike="noStrike">
              <a:solidFill>
                <a:srgbClr val="000000"/>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rPr>
            <a:t>Rp955.961.909</a:t>
          </a:fld>
          <a:endParaRPr lang="en-US" sz="2800" b="1" i="0">
            <a:solidFill>
              <a:schemeClr val="bg2">
                <a:lumMod val="25000"/>
              </a:schemeClr>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endParaRPr>
        </a:p>
      </xdr:txBody>
    </xdr:sp>
    <xdr:clientData/>
  </xdr:oneCellAnchor>
  <xdr:twoCellAnchor>
    <xdr:from>
      <xdr:col>4</xdr:col>
      <xdr:colOff>81504</xdr:colOff>
      <xdr:row>3</xdr:row>
      <xdr:rowOff>89319</xdr:rowOff>
    </xdr:from>
    <xdr:to>
      <xdr:col>13</xdr:col>
      <xdr:colOff>628022</xdr:colOff>
      <xdr:row>22</xdr:row>
      <xdr:rowOff>27912</xdr:rowOff>
    </xdr:to>
    <xdr:graphicFrame macro="">
      <xdr:nvGraphicFramePr>
        <xdr:cNvPr id="2" name="Chart 1">
          <a:extLst>
            <a:ext uri="{FF2B5EF4-FFF2-40B4-BE49-F238E27FC236}">
              <a16:creationId xmlns:a16="http://schemas.microsoft.com/office/drawing/2014/main" id="{B4EEFB2F-682D-9A40-930D-15C059CB2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92404</xdr:colOff>
      <xdr:row>21</xdr:row>
      <xdr:rowOff>13367</xdr:rowOff>
    </xdr:from>
    <xdr:to>
      <xdr:col>2</xdr:col>
      <xdr:colOff>786455</xdr:colOff>
      <xdr:row>37</xdr:row>
      <xdr:rowOff>10619</xdr:rowOff>
    </xdr:to>
    <mc:AlternateContent xmlns:mc="http://schemas.openxmlformats.org/markup-compatibility/2006">
      <mc:Choice xmlns:a14="http://schemas.microsoft.com/office/drawing/2010/main" Requires="a14">
        <xdr:graphicFrame macro="">
          <xdr:nvGraphicFramePr>
            <xdr:cNvPr id="4" name="Stock Ticker">
              <a:extLst>
                <a:ext uri="{FF2B5EF4-FFF2-40B4-BE49-F238E27FC236}">
                  <a16:creationId xmlns:a16="http://schemas.microsoft.com/office/drawing/2014/main" id="{0974471E-D363-0ADC-C6B5-F4E6217E4865}"/>
                </a:ext>
              </a:extLst>
            </xdr:cNvPr>
            <xdr:cNvGraphicFramePr/>
          </xdr:nvGraphicFramePr>
          <xdr:xfrm>
            <a:off x="0" y="0"/>
            <a:ext cx="0" cy="0"/>
          </xdr:xfrm>
          <a:graphic>
            <a:graphicData uri="http://schemas.microsoft.com/office/drawing/2010/slicer">
              <sle:slicer xmlns:sle="http://schemas.microsoft.com/office/drawing/2010/slicer" name="Stock Ticker"/>
            </a:graphicData>
          </a:graphic>
        </xdr:graphicFrame>
      </mc:Choice>
      <mc:Fallback>
        <xdr:sp macro="" textlink="">
          <xdr:nvSpPr>
            <xdr:cNvPr id="0" name=""/>
            <xdr:cNvSpPr>
              <a:spLocks noTextEdit="1"/>
            </xdr:cNvSpPr>
          </xdr:nvSpPr>
          <xdr:spPr>
            <a:xfrm>
              <a:off x="92404" y="4432967"/>
              <a:ext cx="2353518" cy="3248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111648</xdr:colOff>
      <xdr:row>3</xdr:row>
      <xdr:rowOff>96932</xdr:rowOff>
    </xdr:from>
    <xdr:to>
      <xdr:col>2</xdr:col>
      <xdr:colOff>809451</xdr:colOff>
      <xdr:row>19</xdr:row>
      <xdr:rowOff>96931</xdr:rowOff>
    </xdr:to>
    <mc:AlternateContent xmlns:mc="http://schemas.openxmlformats.org/markup-compatibility/2006">
      <mc:Choice xmlns:a14="http://schemas.microsoft.com/office/drawing/2010/main" Requires="a14">
        <xdr:graphicFrame macro="">
          <xdr:nvGraphicFramePr>
            <xdr:cNvPr id="5" name="Growth Percentage">
              <a:extLst>
                <a:ext uri="{FF2B5EF4-FFF2-40B4-BE49-F238E27FC236}">
                  <a16:creationId xmlns:a16="http://schemas.microsoft.com/office/drawing/2014/main" id="{FDA54A59-1FD8-C3B2-3E0A-4E58F7303859}"/>
                </a:ext>
              </a:extLst>
            </xdr:cNvPr>
            <xdr:cNvGraphicFramePr/>
          </xdr:nvGraphicFramePr>
          <xdr:xfrm>
            <a:off x="0" y="0"/>
            <a:ext cx="0" cy="0"/>
          </xdr:xfrm>
          <a:graphic>
            <a:graphicData uri="http://schemas.microsoft.com/office/drawing/2010/slicer">
              <sle:slicer xmlns:sle="http://schemas.microsoft.com/office/drawing/2010/slicer" name="Growth Percentage"/>
            </a:graphicData>
          </a:graphic>
        </xdr:graphicFrame>
      </mc:Choice>
      <mc:Fallback>
        <xdr:sp macro="" textlink="">
          <xdr:nvSpPr>
            <xdr:cNvPr id="0" name=""/>
            <xdr:cNvSpPr>
              <a:spLocks noTextEdit="1"/>
            </xdr:cNvSpPr>
          </xdr:nvSpPr>
          <xdr:spPr>
            <a:xfrm>
              <a:off x="111648" y="858932"/>
              <a:ext cx="2357270" cy="325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787227</xdr:colOff>
      <xdr:row>19</xdr:row>
      <xdr:rowOff>173303</xdr:rowOff>
    </xdr:from>
    <xdr:ext cx="2120837" cy="488403"/>
    <xdr:sp macro="" textlink="'Database '!B5">
      <xdr:nvSpPr>
        <xdr:cNvPr id="8" name="TextBox 7">
          <a:extLst>
            <a:ext uri="{FF2B5EF4-FFF2-40B4-BE49-F238E27FC236}">
              <a16:creationId xmlns:a16="http://schemas.microsoft.com/office/drawing/2014/main" id="{4086FBCC-AD62-CF45-A9A6-3151EEE0CBEC}"/>
            </a:ext>
          </a:extLst>
        </xdr:cNvPr>
        <xdr:cNvSpPr txBox="1"/>
      </xdr:nvSpPr>
      <xdr:spPr>
        <a:xfrm>
          <a:off x="12314919" y="4290336"/>
          <a:ext cx="2120837" cy="488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39D5BED3-9B35-0840-8411-A812CA490014}" type="TxLink">
            <a:rPr lang="en-US" sz="1800" b="1" i="0" u="none" strike="noStrike">
              <a:solidFill>
                <a:srgbClr val="000000"/>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rPr>
            <a:t>Rp1.021.607.134</a:t>
          </a:fld>
          <a:endParaRPr lang="en-US" sz="4000" b="1" i="0">
            <a:solidFill>
              <a:schemeClr val="bg2">
                <a:lumMod val="25000"/>
              </a:schemeClr>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endParaRPr>
        </a:p>
      </xdr:txBody>
    </xdr:sp>
    <xdr:clientData/>
  </xdr:oneCellAnchor>
  <xdr:oneCellAnchor>
    <xdr:from>
      <xdr:col>18</xdr:col>
      <xdr:colOff>677988</xdr:colOff>
      <xdr:row>19</xdr:row>
      <xdr:rowOff>173303</xdr:rowOff>
    </xdr:from>
    <xdr:ext cx="1912576" cy="488403"/>
    <xdr:sp macro="" textlink="'Database '!B6">
      <xdr:nvSpPr>
        <xdr:cNvPr id="10" name="TextBox 9">
          <a:extLst>
            <a:ext uri="{FF2B5EF4-FFF2-40B4-BE49-F238E27FC236}">
              <a16:creationId xmlns:a16="http://schemas.microsoft.com/office/drawing/2014/main" id="{30046FAF-24F7-F44D-90A8-7ACE46374E43}"/>
            </a:ext>
          </a:extLst>
        </xdr:cNvPr>
        <xdr:cNvSpPr txBox="1"/>
      </xdr:nvSpPr>
      <xdr:spPr>
        <a:xfrm>
          <a:off x="15499307" y="4290336"/>
          <a:ext cx="1912576" cy="488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fld id="{CFB3C3DF-2B10-A744-8181-BF07DE1BA027}" type="TxLink">
            <a:rPr lang="en-US" sz="1800" b="1" i="0" u="none" strike="noStrike">
              <a:solidFill>
                <a:srgbClr val="000000"/>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rPr>
            <a:t>Rp114.580.800</a:t>
          </a:fld>
          <a:endParaRPr lang="en-US" sz="2400" b="1" i="0">
            <a:solidFill>
              <a:schemeClr val="bg2">
                <a:lumMod val="25000"/>
              </a:schemeClr>
            </a:solidFill>
            <a:effectLst>
              <a:outerShdw blurRad="63500" sx="102000" sy="102000" algn="ctr" rotWithShape="0">
                <a:schemeClr val="bg2">
                  <a:lumMod val="75000"/>
                  <a:alpha val="68846"/>
                </a:schemeClr>
              </a:outerShdw>
            </a:effectLst>
            <a:latin typeface="Microsoft YaHei" panose="020B0503020204020204" pitchFamily="34" charset="-122"/>
            <a:ea typeface="Microsoft YaHei" panose="020B0503020204020204" pitchFamily="34" charset="-122"/>
          </a:endParaRPr>
        </a:p>
      </xdr:txBody>
    </xdr:sp>
    <xdr:clientData/>
  </xdr:oneCellAnchor>
  <xdr:twoCellAnchor>
    <xdr:from>
      <xdr:col>3</xdr:col>
      <xdr:colOff>520420</xdr:colOff>
      <xdr:row>24</xdr:row>
      <xdr:rowOff>49683</xdr:rowOff>
    </xdr:from>
    <xdr:to>
      <xdr:col>13</xdr:col>
      <xdr:colOff>725714</xdr:colOff>
      <xdr:row>44</xdr:row>
      <xdr:rowOff>181429</xdr:rowOff>
    </xdr:to>
    <xdr:sp macro="" textlink="">
      <xdr:nvSpPr>
        <xdr:cNvPr id="12" name="Rounded Rectangle 11">
          <a:extLst>
            <a:ext uri="{FF2B5EF4-FFF2-40B4-BE49-F238E27FC236}">
              <a16:creationId xmlns:a16="http://schemas.microsoft.com/office/drawing/2014/main" id="{6CA8A4DC-5A85-844D-9AFE-CD5118D2B46B}"/>
            </a:ext>
          </a:extLst>
        </xdr:cNvPr>
        <xdr:cNvSpPr/>
      </xdr:nvSpPr>
      <xdr:spPr>
        <a:xfrm>
          <a:off x="2989300" y="5078883"/>
          <a:ext cx="8434894" cy="4195746"/>
        </a:xfrm>
        <a:prstGeom prst="roundRect">
          <a:avLst/>
        </a:prstGeom>
        <a:solidFill>
          <a:schemeClr val="bg1"/>
        </a:solidFill>
        <a:ln>
          <a:solidFill>
            <a:schemeClr val="bg2"/>
          </a:solidFill>
        </a:ln>
        <a:effectLst>
          <a:outerShdw blurRad="50800" dist="38100" dir="5400000" algn="t" rotWithShape="0">
            <a:schemeClr val="bg2">
              <a:lumMod val="75000"/>
              <a:alpha val="63744"/>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755226</xdr:colOff>
      <xdr:row>24</xdr:row>
      <xdr:rowOff>179493</xdr:rowOff>
    </xdr:from>
    <xdr:to>
      <xdr:col>13</xdr:col>
      <xdr:colOff>457199</xdr:colOff>
      <xdr:row>44</xdr:row>
      <xdr:rowOff>162560</xdr:rowOff>
    </xdr:to>
    <xdr:graphicFrame macro="">
      <xdr:nvGraphicFramePr>
        <xdr:cNvPr id="13" name="Chart 12">
          <a:extLst>
            <a:ext uri="{FF2B5EF4-FFF2-40B4-BE49-F238E27FC236}">
              <a16:creationId xmlns:a16="http://schemas.microsoft.com/office/drawing/2014/main" id="{33628790-5630-3944-99C9-2FEC99E6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822431</xdr:colOff>
      <xdr:row>25</xdr:row>
      <xdr:rowOff>96216</xdr:rowOff>
    </xdr:from>
    <xdr:to>
      <xdr:col>21</xdr:col>
      <xdr:colOff>162440</xdr:colOff>
      <xdr:row>44</xdr:row>
      <xdr:rowOff>14768</xdr:rowOff>
    </xdr:to>
    <xdr:graphicFrame macro="">
      <xdr:nvGraphicFramePr>
        <xdr:cNvPr id="14" name="Chart 13">
          <a:extLst>
            <a:ext uri="{FF2B5EF4-FFF2-40B4-BE49-F238E27FC236}">
              <a16:creationId xmlns:a16="http://schemas.microsoft.com/office/drawing/2014/main" id="{0628B9DE-4710-8E4E-9989-DCA875F09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14</xdr:col>
      <xdr:colOff>271563</xdr:colOff>
      <xdr:row>6</xdr:row>
      <xdr:rowOff>60511</xdr:rowOff>
    </xdr:from>
    <xdr:ext cx="1447640" cy="312393"/>
    <xdr:sp macro="" textlink="">
      <xdr:nvSpPr>
        <xdr:cNvPr id="15" name="TextBox 14">
          <a:extLst>
            <a:ext uri="{FF2B5EF4-FFF2-40B4-BE49-F238E27FC236}">
              <a16:creationId xmlns:a16="http://schemas.microsoft.com/office/drawing/2014/main" id="{6BB6EBCE-A3D5-4065-12F4-CB9538AB038C}"/>
            </a:ext>
          </a:extLst>
        </xdr:cNvPr>
        <xdr:cNvSpPr txBox="1"/>
      </xdr:nvSpPr>
      <xdr:spPr>
        <a:xfrm>
          <a:off x="11768405" y="1416451"/>
          <a:ext cx="1447640" cy="3123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400" b="0" i="0" u="none" strike="noStrike">
              <a:solidFill>
                <a:schemeClr val="bg2">
                  <a:lumMod val="50000"/>
                </a:schemeClr>
              </a:solidFill>
              <a:effectLst>
                <a:outerShdw blurRad="63500" sx="102000" sy="102000" algn="ctr" rotWithShape="0">
                  <a:schemeClr val="bg2">
                    <a:lumMod val="75000"/>
                    <a:alpha val="68846"/>
                  </a:schemeClr>
                </a:outerShdw>
              </a:effectLst>
              <a:latin typeface="Century Gothic" panose="020B0502020202020204" pitchFamily="34" charset="0"/>
              <a:ea typeface="Microsoft YaHei" panose="020B0503020204020204" pitchFamily="34" charset="-122"/>
            </a:rPr>
            <a:t>Last updated :</a:t>
          </a:r>
        </a:p>
      </xdr:txBody>
    </xdr:sp>
    <xdr:clientData/>
  </xdr:oneCellAnchor>
  <xdr:oneCellAnchor>
    <xdr:from>
      <xdr:col>15</xdr:col>
      <xdr:colOff>662827</xdr:colOff>
      <xdr:row>6</xdr:row>
      <xdr:rowOff>66841</xdr:rowOff>
    </xdr:from>
    <xdr:ext cx="1055970" cy="312458"/>
    <xdr:sp macro="" textlink="'Database '!B2">
      <xdr:nvSpPr>
        <xdr:cNvPr id="17" name="TextBox 16">
          <a:extLst>
            <a:ext uri="{FF2B5EF4-FFF2-40B4-BE49-F238E27FC236}">
              <a16:creationId xmlns:a16="http://schemas.microsoft.com/office/drawing/2014/main" id="{6DD2AA8A-C11B-DBE5-1018-A0ADC2280B0A}"/>
            </a:ext>
          </a:extLst>
        </xdr:cNvPr>
        <xdr:cNvSpPr txBox="1"/>
      </xdr:nvSpPr>
      <xdr:spPr>
        <a:xfrm>
          <a:off x="12980872" y="1422781"/>
          <a:ext cx="1055970"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C796E791-104A-A147-8662-3A0DA90612E2}" type="TxLink">
            <a:rPr lang="en-US" sz="1400" b="0" i="0" u="none" strike="noStrike">
              <a:solidFill>
                <a:schemeClr val="bg2">
                  <a:lumMod val="50000"/>
                </a:schemeClr>
              </a:solidFill>
              <a:effectLst>
                <a:outerShdw blurRad="63500" sx="102000" sy="102000" algn="ctr" rotWithShape="0">
                  <a:schemeClr val="bg2">
                    <a:lumMod val="75000"/>
                    <a:alpha val="68846"/>
                  </a:schemeClr>
                </a:outerShdw>
              </a:effectLst>
              <a:latin typeface="Century Gothic" panose="020B0502020202020204" pitchFamily="34" charset="0"/>
              <a:ea typeface="Microsoft YaHei" panose="020B0503020204020204" pitchFamily="34" charset="-122"/>
            </a:rPr>
            <a:t>18/05/26</a:t>
          </a:fld>
          <a:endParaRPr lang="en-US" sz="2000" b="1" i="0" u="none" strike="noStrike">
            <a:solidFill>
              <a:schemeClr val="bg2">
                <a:lumMod val="50000"/>
              </a:schemeClr>
            </a:solidFill>
            <a:effectLst>
              <a:outerShdw blurRad="63500" sx="102000" sy="102000" algn="ctr" rotWithShape="0">
                <a:schemeClr val="bg2">
                  <a:lumMod val="75000"/>
                  <a:alpha val="68846"/>
                </a:schemeClr>
              </a:outerShdw>
            </a:effectLst>
            <a:latin typeface="Century Gothic" panose="020B0502020202020204" pitchFamily="34" charset="0"/>
            <a:ea typeface="Microsoft YaHei" panose="020B0503020204020204" pitchFamily="34" charset="-122"/>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a Kusuma WIcitra" refreshedDate="46159.627536574073" createdVersion="8" refreshedVersion="8" minRefreshableVersion="3" recordCount="96" xr:uid="{F7B38234-F766-4447-87C2-3E9FBD07B143}">
  <cacheSource type="worksheet">
    <worksheetSource name="Table2"/>
  </cacheSource>
  <cacheFields count="12">
    <cacheField name="Stock Ticker" numFmtId="0">
      <sharedItems count="12">
        <s v="ADRO"/>
        <s v="ASII"/>
        <s v="BBCA"/>
        <s v="BBRI"/>
        <s v="BREN"/>
        <s v="GOTO"/>
        <s v="ICBP"/>
        <s v="INDF"/>
        <s v="ITMG"/>
        <s v="TLKM"/>
        <s v="UNTR"/>
        <s v="UNVR"/>
      </sharedItems>
    </cacheField>
    <cacheField name="Growth Percentage" numFmtId="0">
      <sharedItems containsSemiMixedTypes="0" containsString="0" containsNumber="1" minValue="0.06" maxValue="0.12" count="8">
        <n v="0.06"/>
        <n v="7.0000000000000007E-2"/>
        <n v="0.08"/>
        <n v="0.09"/>
        <n v="9.5000000000000001E-2"/>
        <n v="0.1"/>
        <n v="0.11"/>
        <n v="0.12"/>
      </sharedItems>
    </cacheField>
    <cacheField name="2027" numFmtId="166">
      <sharedItems containsSemiMixedTypes="0" containsString="0" containsNumber="1" minValue="4751182.3169280002" maxValue="200604941.23936003"/>
    </cacheField>
    <cacheField name="2028" numFmtId="166">
      <sharedItems containsSemiMixedTypes="0" containsString="0" containsNumber="1" minValue="5036253.2559436802" maxValue="224677534.18808323"/>
    </cacheField>
    <cacheField name="2029" numFmtId="166">
      <sharedItems containsSemiMixedTypes="0" containsString="0" containsNumber="1" minValue="5338428.4513003016" maxValue="251638838.29065326"/>
    </cacheField>
    <cacheField name="2030" numFmtId="166">
      <sharedItems containsSemiMixedTypes="0" containsString="0" containsNumber="1" minValue="5658734.1583783198" maxValue="281835498.88553166"/>
    </cacheField>
    <cacheField name="2031" numFmtId="166">
      <sharedItems containsSemiMixedTypes="0" containsString="0" containsNumber="1" minValue="5998258.2078810204" maxValue="315655758.75179547"/>
    </cacheField>
    <cacheField name="2032" numFmtId="166">
      <sharedItems containsSemiMixedTypes="0" containsString="0" containsNumber="1" minValue="6358153.7003538813" maxValue="353534449.80201095"/>
    </cacheField>
    <cacheField name="2033" numFmtId="166">
      <sharedItems containsSemiMixedTypes="0" containsString="0" containsNumber="1" minValue="6739642.9223751156" maxValue="395958583.7782523"/>
    </cacheField>
    <cacheField name="2034" numFmtId="166">
      <sharedItems containsSemiMixedTypes="0" containsString="0" containsNumber="1" minValue="7144021.4977176217" maxValue="443473613.83164257"/>
    </cacheField>
    <cacheField name="2035" numFmtId="166">
      <sharedItems containsSemiMixedTypes="0" containsString="0" containsNumber="1" minValue="7572662.7875806792" maxValue="496690447.4914397"/>
    </cacheField>
    <cacheField name="2036" numFmtId="166">
      <sharedItems containsSemiMixedTypes="0" containsString="0" containsNumber="1" minValue="8027022.5548355207" maxValue="556293301.19041252"/>
    </cacheField>
  </cacheFields>
  <extLst>
    <ext xmlns:x14="http://schemas.microsoft.com/office/spreadsheetml/2009/9/main" uri="{725AE2AE-9491-48be-B2B4-4EB974FC3084}">
      <x14:pivotCacheDefinition pivotCacheId="11036869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Kirana Kusuma WIcitra" refreshedDate="46160.464459374998" createdVersion="8" refreshedVersion="8" minRefreshableVersion="3" recordCount="12" xr:uid="{D6118BBB-B3A5-664A-9485-0EB2315607AF}">
  <cacheSource type="worksheet">
    <worksheetSource ref="A10:D22" sheet="Database "/>
  </cacheSource>
  <cacheFields count="4">
    <cacheField name="Stock Tickers" numFmtId="0">
      <sharedItems count="12">
        <s v="ADRO"/>
        <s v="ASII"/>
        <s v="BBCA"/>
        <s v="BBRI"/>
        <s v="BREN"/>
        <s v="GOTO"/>
        <s v="ICBP"/>
        <s v="INDF"/>
        <s v="ITMG"/>
        <s v="TLKM"/>
        <s v="UNTR"/>
        <s v="UNVR"/>
      </sharedItems>
    </cacheField>
    <cacheField name="Company" numFmtId="0">
      <sharedItems/>
    </cacheField>
    <cacheField name="Sectors" numFmtId="0">
      <sharedItems/>
    </cacheField>
    <cacheField name="Total Lot" numFmtId="0">
      <sharedItems containsSemiMixedTypes="0" containsString="0" containsNumber="1" containsInteger="1" minValue="13" maxValue="212"/>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D6118BBB-B3A5-664A-9485-0EB2315607AF}" pivotIgnoreInvalidCache="1" r:id="r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n v="65010142.163759999"/>
    <n v="68910750.693585604"/>
    <n v="73045395.735200748"/>
    <n v="77428119.479312792"/>
    <n v="82073806.648071572"/>
    <n v="86998235.046955869"/>
    <n v="92218129.14977324"/>
    <n v="97751216.898759618"/>
    <n v="103616289.9126852"/>
    <n v="109833267.30744632"/>
  </r>
  <r>
    <x v="0"/>
    <x v="1"/>
    <n v="65623445.391719997"/>
    <n v="70217086.569140404"/>
    <n v="75132282.628980234"/>
    <n v="80391542.413008839"/>
    <n v="86018950.381919473"/>
    <n v="92040276.908653826"/>
    <n v="98483096.292259604"/>
    <n v="105376913.03271776"/>
    <n v="112753296.94500802"/>
    <n v="120646027.73115858"/>
  </r>
  <r>
    <x v="0"/>
    <x v="2"/>
    <n v="66236748.619680002"/>
    <n v="71535688.509254396"/>
    <n v="77258543.589994758"/>
    <n v="83439227.077194348"/>
    <n v="90114365.243369892"/>
    <n v="97323514.462839499"/>
    <n v="105109395.61986665"/>
    <n v="113518147.269456"/>
    <n v="122599599.05101249"/>
    <n v="132407566.97509348"/>
  </r>
  <r>
    <x v="0"/>
    <x v="3"/>
    <n v="66850051.84764"/>
    <n v="72866556.513927609"/>
    <n v="79424546.600181088"/>
    <n v="86572755.794197395"/>
    <n v="94364303.815675169"/>
    <n v="102857091.15908594"/>
    <n v="112114229.36340368"/>
    <n v="122204510.00611001"/>
    <n v="133202915.90665993"/>
    <n v="145191178.33825934"/>
  </r>
  <r>
    <x v="0"/>
    <x v="4"/>
    <n v="67156703.461619988"/>
    <n v="73536590.290473893"/>
    <n v="80522566.368068919"/>
    <n v="88172210.173035458"/>
    <n v="96548570.139473826"/>
    <n v="105720684.30272385"/>
    <n v="115764149.31148261"/>
    <n v="126761743.49607347"/>
    <n v="138804109.12820044"/>
    <n v="151990499.49537951"/>
  </r>
  <r>
    <x v="0"/>
    <x v="5"/>
    <n v="67463355.075599998"/>
    <n v="74209690.583160013"/>
    <n v="81630659.64147602"/>
    <n v="89793725.605623618"/>
    <n v="98773098.16618599"/>
    <n v="108650407.9828046"/>
    <n v="119515448.78108507"/>
    <n v="131466993.65919358"/>
    <n v="144613693.02511296"/>
    <n v="159075062.32762426"/>
  </r>
  <r>
    <x v="0"/>
    <x v="6"/>
    <n v="68076658.303560004"/>
    <n v="75565090.716951609"/>
    <n v="83877250.695816293"/>
    <n v="93103748.272356093"/>
    <n v="103345160.58231527"/>
    <n v="114713128.24636994"/>
    <n v="127331572.35347064"/>
    <n v="141338045.31235245"/>
    <n v="156885230.29671124"/>
    <n v="174142605.6293495"/>
  </r>
  <r>
    <x v="0"/>
    <x v="7"/>
    <n v="68689961.531520009"/>
    <n v="76932756.915302411"/>
    <n v="86164687.745138705"/>
    <n v="96504450.27455534"/>
    <n v="108084984.307502"/>
    <n v="121055182.42440225"/>
    <n v="135581804.31533054"/>
    <n v="151851620.83317021"/>
    <n v="170073815.33315063"/>
    <n v="190482673.17312872"/>
  </r>
  <r>
    <x v="1"/>
    <x v="0"/>
    <n v="97053221.93934001"/>
    <n v="102876415.25570041"/>
    <n v="109049000.17104246"/>
    <n v="115591940.18130501"/>
    <n v="122527456.59218332"/>
    <n v="129879103.98771432"/>
    <n v="137671850.2269772"/>
    <n v="145932161.24059582"/>
    <n v="154688090.91503155"/>
    <n v="163969376.36993349"/>
  </r>
  <r>
    <x v="1"/>
    <x v="1"/>
    <n v="97968818.372730002"/>
    <n v="104826635.65882111"/>
    <n v="112164500.15493859"/>
    <n v="120016015.16578428"/>
    <n v="128417136.2273892"/>
    <n v="137406335.76330644"/>
    <n v="147024779.26673788"/>
    <n v="157316513.81540954"/>
    <n v="168328669.78248823"/>
    <n v="180111676.66726238"/>
  </r>
  <r>
    <x v="1"/>
    <x v="2"/>
    <n v="98884414.806120008"/>
    <n v="106795167.99060962"/>
    <n v="115338781.42985839"/>
    <n v="124565883.94424707"/>
    <n v="134531154.65978682"/>
    <n v="145293647.0325698"/>
    <n v="156917138.79517537"/>
    <n v="169470509.89878941"/>
    <n v="183028150.69069257"/>
    <n v="197670402.74594799"/>
  </r>
  <r>
    <x v="1"/>
    <x v="3"/>
    <n v="99800011.239510015"/>
    <n v="108782012.25106591"/>
    <n v="118572393.35366185"/>
    <n v="129243908.75549142"/>
    <n v="140875860.54348567"/>
    <n v="153554687.99239939"/>
    <n v="167374609.91171533"/>
    <n v="182438324.80376971"/>
    <n v="198857774.036109"/>
    <n v="216754973.69935885"/>
  </r>
  <r>
    <x v="1"/>
    <x v="4"/>
    <n v="100257809.456205"/>
    <n v="109782301.35454448"/>
    <n v="120211619.98322619"/>
    <n v="131631723.88163269"/>
    <n v="144136737.65038779"/>
    <n v="157829727.72717464"/>
    <n v="172823551.86125621"/>
    <n v="189241789.28807557"/>
    <n v="207219759.27044272"/>
    <n v="226905636.40113485"/>
  </r>
  <r>
    <x v="1"/>
    <x v="5"/>
    <n v="100715607.67290001"/>
    <n v="110787168.44019002"/>
    <n v="121865885.28420904"/>
    <n v="134052473.81262994"/>
    <n v="147457721.19389296"/>
    <n v="162203493.31328225"/>
    <n v="178423842.64461052"/>
    <n v="196266226.90907153"/>
    <n v="215892849.59997872"/>
    <n v="237482134.55997661"/>
  </r>
  <r>
    <x v="1"/>
    <x v="6"/>
    <n v="101631204.10629001"/>
    <n v="112810636.55798192"/>
    <n v="125219806.57935993"/>
    <n v="138993985.30308953"/>
    <n v="154283323.68642941"/>
    <n v="171254489.29193664"/>
    <n v="190092483.11404967"/>
    <n v="211002656.25659519"/>
    <n v="234212948.44482067"/>
    <n v="259976372.77375099"/>
  </r>
  <r>
    <x v="1"/>
    <x v="7"/>
    <n v="102546800.53968"/>
    <n v="114852416.60444161"/>
    <n v="128634706.59697463"/>
    <n v="144070871.38861158"/>
    <n v="161359375.95524499"/>
    <n v="180722501.06987441"/>
    <n v="202409201.19825932"/>
    <n v="226698305.34205046"/>
    <n v="253902101.98309654"/>
    <n v="284370354.22106814"/>
  </r>
  <r>
    <x v="2"/>
    <x v="0"/>
    <n v="133031193.18582003"/>
    <n v="141013064.77696922"/>
    <n v="149473848.66358742"/>
    <n v="158442279.58340266"/>
    <n v="167948816.35840684"/>
    <n v="178025745.33991125"/>
    <n v="188707290.06030595"/>
    <n v="200029727.46392429"/>
    <n v="212031511.11175975"/>
    <n v="224753401.77846536"/>
  </r>
  <r>
    <x v="2"/>
    <x v="1"/>
    <n v="134286204.44229004"/>
    <n v="143686238.75325033"/>
    <n v="153744275.46597785"/>
    <n v="164506374.74859628"/>
    <n v="176021820.98099804"/>
    <n v="188343348.4496679"/>
    <n v="201527382.84114465"/>
    <n v="215634299.64002478"/>
    <n v="230728700.61482656"/>
    <n v="246879709.65786439"/>
  </r>
  <r>
    <x v="2"/>
    <x v="2"/>
    <n v="135541215.69876003"/>
    <n v="146384512.95466083"/>
    <n v="158095273.9910337"/>
    <n v="170742895.91031641"/>
    <n v="184402327.58314171"/>
    <n v="199154513.7897931"/>
    <n v="215086874.89297655"/>
    <n v="232293824.88441467"/>
    <n v="250877330.87516788"/>
    <n v="270947517.34518129"/>
  </r>
  <r>
    <x v="2"/>
    <x v="3"/>
    <n v="136796226.95523003"/>
    <n v="149107887.38120073"/>
    <n v="162527597.24550882"/>
    <n v="177155080.99760461"/>
    <n v="193099038.28738904"/>
    <n v="210477951.73325408"/>
    <n v="229420967.38924694"/>
    <n v="250068854.45427918"/>
    <n v="272575051.35516435"/>
    <n v="297106805.97712916"/>
  </r>
  <r>
    <x v="2"/>
    <x v="4"/>
    <n v="137423732.58346501"/>
    <n v="150478987.17889419"/>
    <n v="164774490.96088913"/>
    <n v="180428067.6021736"/>
    <n v="197568734.02438009"/>
    <n v="216337763.75669622"/>
    <n v="236889851.31358233"/>
    <n v="259394387.1883727"/>
    <n v="284036853.97126806"/>
    <n v="311020355.09853858"/>
  </r>
  <r>
    <x v="2"/>
    <x v="5"/>
    <n v="138051238.21170002"/>
    <n v="151856362.03287005"/>
    <n v="167041998.23615706"/>
    <n v="183746198.05977276"/>
    <n v="202120817.86575007"/>
    <n v="222332899.65232509"/>
    <n v="244566189.61755764"/>
    <n v="269022808.5793134"/>
    <n v="295925089.43724477"/>
    <n v="325517598.38096929"/>
  </r>
  <r>
    <x v="2"/>
    <x v="6"/>
    <n v="139306249.46817002"/>
    <n v="154629936.90966874"/>
    <n v="171639229.96973231"/>
    <n v="190519545.26640287"/>
    <n v="211476695.24570721"/>
    <n v="234739131.72273502"/>
    <n v="260560436.21223587"/>
    <n v="289222084.19558185"/>
    <n v="321036513.45709592"/>
    <n v="356350529.9373765"/>
  </r>
  <r>
    <x v="2"/>
    <x v="7"/>
    <n v="140561260.72464004"/>
    <n v="157428612.01159683"/>
    <n v="176320045.45298848"/>
    <n v="197478450.90734708"/>
    <n v="221175865.01622877"/>
    <n v="247716968.81817624"/>
    <n v="277443005.07635742"/>
    <n v="310736165.68552029"/>
    <n v="348024505.56778276"/>
    <n v="389787446.23591673"/>
  </r>
  <r>
    <x v="3"/>
    <x v="0"/>
    <n v="116785029.93875998"/>
    <n v="123792131.73508559"/>
    <n v="131219659.63919073"/>
    <n v="139092839.21754217"/>
    <n v="147438409.57059473"/>
    <n v="156284714.14483044"/>
    <n v="165661796.99352026"/>
    <n v="175601504.81313148"/>
    <n v="186137595.10191935"/>
    <n v="197305850.80803454"/>
  </r>
  <r>
    <x v="3"/>
    <x v="1"/>
    <n v="117886775.50421998"/>
    <n v="126138849.78951538"/>
    <n v="134968569.27478147"/>
    <n v="144416369.12401614"/>
    <n v="154525514.9626973"/>
    <n v="165342301.01008609"/>
    <n v="176916262.08079213"/>
    <n v="189300400.42644757"/>
    <n v="202551428.45629892"/>
    <n v="216730028.44823983"/>
  </r>
  <r>
    <x v="3"/>
    <x v="2"/>
    <n v="118988521.06967998"/>
    <n v="128507602.75525439"/>
    <n v="138788210.97567475"/>
    <n v="149891267.85372874"/>
    <n v="161882569.28202704"/>
    <n v="174833174.82458922"/>
    <n v="188819828.81055635"/>
    <n v="203925415.11540085"/>
    <n v="220239448.32463294"/>
    <n v="237858604.19060358"/>
  </r>
  <r>
    <x v="3"/>
    <x v="3"/>
    <n v="120090266.63513999"/>
    <n v="130898390.63230258"/>
    <n v="142679245.78920981"/>
    <n v="155520377.91023871"/>
    <n v="169517211.92216021"/>
    <n v="184773760.99515465"/>
    <n v="201403399.48471856"/>
    <n v="219529705.43834326"/>
    <n v="239287378.92779416"/>
    <n v="260823243.03129566"/>
  </r>
  <r>
    <x v="3"/>
    <x v="4"/>
    <n v="120641139.41786997"/>
    <n v="132102047.66256762"/>
    <n v="144651742.19051152"/>
    <n v="158393657.69861013"/>
    <n v="173441055.1799781"/>
    <n v="189917955.42207602"/>
    <n v="207960161.18717325"/>
    <n v="227716376.4999547"/>
    <n v="249349432.26745039"/>
    <n v="273037628.3328582"/>
  </r>
  <r>
    <x v="3"/>
    <x v="5"/>
    <n v="121192012.20059998"/>
    <n v="133311213.42065999"/>
    <n v="146642334.76272601"/>
    <n v="161306568.23899859"/>
    <n v="177437225.06289849"/>
    <n v="195180947.56918836"/>
    <n v="214699042.3261072"/>
    <n v="236168946.55871791"/>
    <n v="259785841.21458974"/>
    <n v="285764425.33604872"/>
  </r>
  <r>
    <x v="3"/>
    <x v="6"/>
    <n v="122293757.76605998"/>
    <n v="135746071.12032658"/>
    <n v="150678138.94356251"/>
    <n v="167252734.22735441"/>
    <n v="185650534.99236339"/>
    <n v="206072093.84152338"/>
    <n v="228740024.16409096"/>
    <n v="253901426.82214102"/>
    <n v="281830583.77257657"/>
    <n v="312831947.98756003"/>
  </r>
  <r>
    <x v="3"/>
    <x v="7"/>
    <n v="123395503.33151998"/>
    <n v="138202963.73130238"/>
    <n v="154787319.37905869"/>
    <n v="173361797.70454574"/>
    <n v="194165213.42909122"/>
    <n v="217465039.04058221"/>
    <n v="243560843.72545207"/>
    <n v="272788144.97250634"/>
    <n v="305522722.36920714"/>
    <n v="342185449.05351198"/>
  </r>
  <r>
    <x v="4"/>
    <x v="0"/>
    <n v="65602765.494599998"/>
    <n v="69538931.424276009"/>
    <n v="73711267.309732571"/>
    <n v="78133943.348316535"/>
    <n v="82821979.949215531"/>
    <n v="87791298.746168464"/>
    <n v="93058776.670938581"/>
    <n v="98642303.27119489"/>
    <n v="104560841.46746658"/>
    <n v="110834491.95551459"/>
  </r>
  <r>
    <x v="4"/>
    <x v="1"/>
    <n v="66221659.508699998"/>
    <n v="70857175.674309"/>
    <n v="75817177.971510634"/>
    <n v="81124380.429516375"/>
    <n v="86803087.059582531"/>
    <n v="92879303.153753296"/>
    <n v="99380854.374516025"/>
    <n v="106337514.18073215"/>
    <n v="113781140.17338341"/>
    <n v="121745819.98552024"/>
  </r>
  <r>
    <x v="4"/>
    <x v="2"/>
    <n v="66840553.522799999"/>
    <n v="72187797.804624006"/>
    <n v="77962821.628993928"/>
    <n v="84199847.359313443"/>
    <n v="90935835.148058519"/>
    <n v="98210701.95990321"/>
    <n v="106067558.11669548"/>
    <n v="114552962.76603112"/>
    <n v="123717199.78731361"/>
    <n v="133614575.7702987"/>
  </r>
  <r>
    <x v="4"/>
    <x v="3"/>
    <n v="67459447.536899999"/>
    <n v="73530797.815221012"/>
    <n v="80148569.618590891"/>
    <n v="87361940.884264082"/>
    <n v="95224515.563847855"/>
    <n v="103794721.96459417"/>
    <n v="113136246.94140765"/>
    <n v="123318509.16613434"/>
    <n v="134417174.99108645"/>
    <n v="146514720.74028423"/>
  </r>
  <r>
    <x v="4"/>
    <x v="4"/>
    <n v="67768894.543949991"/>
    <n v="74206939.525625244"/>
    <n v="81256598.780559644"/>
    <n v="88975975.664712816"/>
    <n v="97428693.352860525"/>
    <n v="106684419.22138228"/>
    <n v="116819439.04741359"/>
    <n v="127917285.75691789"/>
    <n v="140069427.90382507"/>
    <n v="153376023.55468848"/>
  </r>
  <r>
    <x v="4"/>
    <x v="5"/>
    <n v="68078341.550999999"/>
    <n v="74886175.706100002"/>
    <n v="82374793.276710019"/>
    <n v="90612272.604381025"/>
    <n v="99673499.864819124"/>
    <n v="109640849.85130106"/>
    <n v="120604934.83643118"/>
    <n v="132665428.32007429"/>
    <n v="145931971.15208173"/>
    <n v="160525168.26728991"/>
  </r>
  <r>
    <x v="4"/>
    <x v="6"/>
    <n v="68697235.565099999"/>
    <n v="76253931.477261007"/>
    <n v="84641863.939759716"/>
    <n v="93952468.973133296"/>
    <n v="104287240.56017797"/>
    <n v="115758837.02179755"/>
    <n v="128492309.09419528"/>
    <n v="142626463.09455681"/>
    <n v="158315374.03495806"/>
    <n v="175730065.17880347"/>
  </r>
  <r>
    <x v="4"/>
    <x v="7"/>
    <n v="69316129.5792"/>
    <n v="77634065.128704011"/>
    <n v="86950152.944148496"/>
    <n v="97384171.297446311"/>
    <n v="109070271.85313988"/>
    <n v="122158704.47551668"/>
    <n v="136817749.0125787"/>
    <n v="153235878.89408815"/>
    <n v="171624184.36137873"/>
    <n v="192219086.48474419"/>
  </r>
  <r>
    <x v="5"/>
    <x v="0"/>
    <n v="4751182.3169280002"/>
    <n v="5036253.2559436802"/>
    <n v="5338428.4513003016"/>
    <n v="5658734.1583783198"/>
    <n v="5998258.2078810204"/>
    <n v="6358153.7003538813"/>
    <n v="6739642.9223751156"/>
    <n v="7144021.4977176217"/>
    <n v="7572662.7875806792"/>
    <n v="8027022.5548355207"/>
  </r>
  <r>
    <x v="5"/>
    <x v="1"/>
    <n v="4796004.7916160002"/>
    <n v="5131725.12702912"/>
    <n v="5490945.8859211588"/>
    <n v="5875312.0979356393"/>
    <n v="6286583.9447911344"/>
    <n v="6726644.8209265135"/>
    <n v="7197509.9583913703"/>
    <n v="7701335.6554787662"/>
    <n v="8240429.1513622804"/>
    <n v="8817259.1919576395"/>
  </r>
  <r>
    <x v="5"/>
    <x v="2"/>
    <n v="4840827.2663040003"/>
    <n v="5228093.44760832"/>
    <n v="5646340.9234169861"/>
    <n v="6098048.197290346"/>
    <n v="6585892.0530735729"/>
    <n v="7112763.4173194598"/>
    <n v="7681784.490705017"/>
    <n v="8296327.249961419"/>
    <n v="8960033.4299583323"/>
    <n v="9676836.104355"/>
  </r>
  <r>
    <x v="5"/>
    <x v="3"/>
    <n v="4885649.7409920003"/>
    <n v="5325358.2176812803"/>
    <n v="5804640.4572725957"/>
    <n v="6327058.0984271299"/>
    <n v="6896493.327285572"/>
    <n v="7517177.7267412748"/>
    <n v="8193723.7221479891"/>
    <n v="8931158.8571413085"/>
    <n v="9734963.1542840265"/>
    <n v="10611109.838169592"/>
  </r>
  <r>
    <x v="5"/>
    <x v="4"/>
    <n v="4908060.9783359999"/>
    <n v="5374326.7712779203"/>
    <n v="5884887.8145493222"/>
    <n v="6443952.1569315074"/>
    <n v="7056127.6118400013"/>
    <n v="7726459.7349648019"/>
    <n v="8460473.4097864572"/>
    <n v="9264218.3837161716"/>
    <n v="10144319.130169207"/>
    <n v="11108029.447535282"/>
  </r>
  <r>
    <x v="5"/>
    <x v="5"/>
    <n v="4930472.2156800004"/>
    <n v="5423519.4372480009"/>
    <n v="5965871.3809728017"/>
    <n v="6562458.5190700814"/>
    <n v="7218704.3709770907"/>
    <n v="7940574.8080748003"/>
    <n v="8734632.2888822816"/>
    <n v="9608095.5177705083"/>
    <n v="10568905.06954756"/>
    <n v="11625795.576502318"/>
  </r>
  <r>
    <x v="5"/>
    <x v="6"/>
    <n v="4975294.6903680004"/>
    <n v="5522577.1063084807"/>
    <n v="6130060.5880024135"/>
    <n v="6804367.2526826803"/>
    <n v="7552847.6504777754"/>
    <n v="8383660.8920303313"/>
    <n v="9305863.5901536681"/>
    <n v="10329508.585070573"/>
    <n v="11465754.529428337"/>
    <n v="12726987.527665457"/>
  </r>
  <r>
    <x v="5"/>
    <x v="7"/>
    <n v="5020117.1650560005"/>
    <n v="5622531.2248627208"/>
    <n v="6297234.971846248"/>
    <n v="7052903.1684677973"/>
    <n v="7899251.5486839339"/>
    <n v="8847161.7345260065"/>
    <n v="9908821.1426691283"/>
    <n v="11097879.679789424"/>
    <n v="12429625.241364155"/>
    <n v="13921180.270327855"/>
  </r>
  <r>
    <x v="6"/>
    <x v="0"/>
    <n v="76293350.527280003"/>
    <n v="80870951.558916822"/>
    <n v="85723208.652451843"/>
    <n v="90866601.171598941"/>
    <n v="96318597.241894901"/>
    <n v="102097713.07640859"/>
    <n v="108223575.86099312"/>
    <n v="114716990.4126527"/>
    <n v="121600009.83741187"/>
    <n v="128896010.42765659"/>
  </r>
  <r>
    <x v="6"/>
    <x v="1"/>
    <n v="77013099.117160007"/>
    <n v="82404016.055361211"/>
    <n v="88172297.179236501"/>
    <n v="94344357.981783047"/>
    <n v="100948463.04050787"/>
    <n v="108014855.45334341"/>
    <n v="115575895.33507746"/>
    <n v="123666208.00853288"/>
    <n v="132322842.5691302"/>
    <n v="141585441.5489693"/>
  </r>
  <r>
    <x v="6"/>
    <x v="2"/>
    <n v="77732847.707040012"/>
    <n v="83951475.523603216"/>
    <n v="90667593.565491468"/>
    <n v="97921001.050730795"/>
    <n v="105754681.13478927"/>
    <n v="114215055.62557243"/>
    <n v="123352260.07561822"/>
    <n v="133220440.88166767"/>
    <n v="143878076.15220112"/>
    <n v="155388322.2443772"/>
  </r>
  <r>
    <x v="6"/>
    <x v="3"/>
    <n v="78452596.296920016"/>
    <n v="85513329.963642821"/>
    <n v="93209529.660370678"/>
    <n v="101598387.32980403"/>
    <n v="110742242.18948641"/>
    <n v="120709043.9865402"/>
    <n v="131572857.94532882"/>
    <n v="143414415.16040841"/>
    <n v="156321712.52484518"/>
    <n v="170390666.65208128"/>
  </r>
  <r>
    <x v="6"/>
    <x v="4"/>
    <n v="78812470.591860011"/>
    <n v="86299655.298086703"/>
    <n v="94498122.551404938"/>
    <n v="103475444.19378841"/>
    <n v="113305611.39219831"/>
    <n v="124069644.47445716"/>
    <n v="135856260.69953057"/>
    <n v="148762605.46598598"/>
    <n v="162895052.98525465"/>
    <n v="178370083.01885387"/>
  </r>
  <r>
    <x v="6"/>
    <x v="5"/>
    <n v="79172344.886800006"/>
    <n v="87089579.375480026"/>
    <n v="95798537.313028038"/>
    <n v="105378391.04433084"/>
    <n v="115916230.14876392"/>
    <n v="127507853.16364034"/>
    <n v="140258638.4800044"/>
    <n v="154284502.32800481"/>
    <n v="169712952.56080532"/>
    <n v="186684247.81688586"/>
  </r>
  <r>
    <x v="6"/>
    <x v="6"/>
    <n v="79892093.476680011"/>
    <n v="88680223.759114817"/>
    <n v="98435048.372617453"/>
    <n v="109262903.69360538"/>
    <n v="121281823.09990199"/>
    <n v="134622823.64089119"/>
    <n v="149431334.24138924"/>
    <n v="165868781.00794208"/>
    <n v="184114346.91881573"/>
    <n v="204366925.07988551"/>
  </r>
  <r>
    <x v="6"/>
    <x v="7"/>
    <n v="80611842.066560015"/>
    <n v="90285263.114547223"/>
    <n v="101119494.68829291"/>
    <n v="113253834.05088805"/>
    <n v="126844294.13699462"/>
    <n v="142065609.43343398"/>
    <n v="159113482.56544608"/>
    <n v="178207100.47329962"/>
    <n v="199591952.53009558"/>
    <n v="223542986.83370706"/>
  </r>
  <r>
    <x v="7"/>
    <x v="0"/>
    <n v="24907703.703449998"/>
    <n v="26402165.925657"/>
    <n v="27986295.881196424"/>
    <n v="29665473.63406821"/>
    <n v="31445402.052112304"/>
    <n v="33332126.175239045"/>
    <n v="35332053.745753393"/>
    <n v="37451976.970498592"/>
    <n v="39699095.58872851"/>
    <n v="42081041.324052222"/>
  </r>
  <r>
    <x v="7"/>
    <x v="1"/>
    <n v="25142682.040275"/>
    <n v="26902669.783094246"/>
    <n v="28785856.667910848"/>
    <n v="30800866.634664603"/>
    <n v="32956927.29909113"/>
    <n v="35263912.210027508"/>
    <n v="37732386.064729437"/>
    <n v="40373653.089260496"/>
    <n v="43199808.805508733"/>
    <n v="46223795.421894342"/>
  </r>
  <r>
    <x v="7"/>
    <x v="2"/>
    <n v="25377660.377099998"/>
    <n v="27407873.207268"/>
    <n v="29600503.063849442"/>
    <n v="31968543.308957398"/>
    <n v="34526026.773673989"/>
    <n v="37288108.915567912"/>
    <n v="40271157.628813349"/>
    <n v="43492850.23911842"/>
    <n v="46972278.258247897"/>
    <n v="50730060.518907726"/>
  </r>
  <r>
    <x v="7"/>
    <x v="3"/>
    <n v="25612638.713925"/>
    <n v="27917776.19817825"/>
    <n v="30430376.056014296"/>
    <n v="33169109.901055582"/>
    <n v="36154329.792150587"/>
    <n v="39408219.473444141"/>
    <n v="42954959.226054117"/>
    <n v="46820905.556398988"/>
    <n v="51034787.056474902"/>
    <n v="55627917.891557649"/>
  </r>
  <r>
    <x v="7"/>
    <x v="4"/>
    <n v="25730127.882337496"/>
    <n v="28174490.031159561"/>
    <n v="30851066.584119715"/>
    <n v="33781917.909611091"/>
    <n v="36991200.111024141"/>
    <n v="40505364.121571437"/>
    <n v="44353373.713120721"/>
    <n v="48566944.215867199"/>
    <n v="53180803.916374572"/>
    <n v="58232980.288430169"/>
  </r>
  <r>
    <x v="7"/>
    <x v="5"/>
    <n v="25847617.050749999"/>
    <n v="28432378.755825002"/>
    <n v="31275616.631407507"/>
    <n v="34403178.294548258"/>
    <n v="37843496.124003083"/>
    <n v="41627845.736403398"/>
    <n v="45790630.310043745"/>
    <n v="50369693.341048114"/>
    <n v="55406662.675152928"/>
    <n v="60947328.942668229"/>
  </r>
  <r>
    <x v="7"/>
    <x v="6"/>
    <n v="26082595.387575001"/>
    <n v="28951680.88020825"/>
    <n v="32136365.777031161"/>
    <n v="35671366.012504593"/>
    <n v="39595216.273880094"/>
    <n v="43950690.06400691"/>
    <n v="48785265.97104767"/>
    <n v="54151645.227862924"/>
    <n v="60108326.202927858"/>
    <n v="66720242.085249931"/>
  </r>
  <r>
    <x v="7"/>
    <x v="7"/>
    <n v="26317573.724399999"/>
    <n v="29475682.571327999"/>
    <n v="33012764.479887366"/>
    <n v="36974296.21747385"/>
    <n v="41411211.763570711"/>
    <n v="46380557.175199203"/>
    <n v="51946224.036223106"/>
    <n v="58179770.920569889"/>
    <n v="65161343.431038275"/>
    <n v="72980704.64276287"/>
  </r>
  <r>
    <x v="8"/>
    <x v="0"/>
    <n v="172105037.20900002"/>
    <n v="182431339.44154003"/>
    <n v="193377219.80803245"/>
    <n v="204979852.99651441"/>
    <n v="217278644.17630529"/>
    <n v="230315362.82688361"/>
    <n v="244134284.59649667"/>
    <n v="258782341.67228645"/>
    <n v="274309282.17262363"/>
    <n v="290767839.10298109"/>
  </r>
  <r>
    <x v="8"/>
    <x v="1"/>
    <n v="173728669.63550001"/>
    <n v="185889676.509985"/>
    <n v="198901953.86568397"/>
    <n v="212825090.63628185"/>
    <n v="227722846.98082158"/>
    <n v="243663446.26947907"/>
    <n v="260719887.50834262"/>
    <n v="278970279.63392663"/>
    <n v="298498199.20830148"/>
    <n v="319393073.15288258"/>
  </r>
  <r>
    <x v="8"/>
    <x v="2"/>
    <n v="175352302.06200001"/>
    <n v="189380486.22696003"/>
    <n v="204530925.12511683"/>
    <n v="220893399.1351262"/>
    <n v="238564871.0659363"/>
    <n v="257650060.75121123"/>
    <n v="278262065.61130816"/>
    <n v="300523030.8602128"/>
    <n v="324564873.32902986"/>
    <n v="350530063.19535226"/>
  </r>
  <r>
    <x v="8"/>
    <x v="3"/>
    <n v="176975934.48850003"/>
    <n v="192903768.59246504"/>
    <n v="210265107.76578689"/>
    <n v="229188967.46470773"/>
    <n v="249815974.53653145"/>
    <n v="272299412.24481928"/>
    <n v="296806359.34685302"/>
    <n v="323518931.68806982"/>
    <n v="352635635.53999615"/>
    <n v="384372842.73859584"/>
  </r>
  <r>
    <x v="8"/>
    <x v="4"/>
    <n v="177787750.70175001"/>
    <n v="194677587.01841626"/>
    <n v="213171957.78516579"/>
    <n v="233423293.77475655"/>
    <n v="255598506.68335843"/>
    <n v="279880364.81827748"/>
    <n v="306468999.47601384"/>
    <n v="335583554.42623514"/>
    <n v="367463992.09672749"/>
    <n v="402373071.34591663"/>
  </r>
  <r>
    <x v="8"/>
    <x v="5"/>
    <n v="178599566.91500002"/>
    <n v="196459523.60650003"/>
    <n v="216105475.96715006"/>
    <n v="237716023.56386507"/>
    <n v="261487625.92025161"/>
    <n v="287636388.51227677"/>
    <n v="316400027.36350453"/>
    <n v="348040030.09985495"/>
    <n v="382844033.10984045"/>
    <n v="421128436.42082459"/>
  </r>
  <r>
    <x v="8"/>
    <x v="6"/>
    <n v="180223199.34150001"/>
    <n v="200047751.26906505"/>
    <n v="222053003.9086622"/>
    <n v="246478834.33861506"/>
    <n v="273591506.11586273"/>
    <n v="303686571.78860766"/>
    <n v="337092094.68535447"/>
    <n v="374172225.10074359"/>
    <n v="415331169.86182541"/>
    <n v="461017598.54662627"/>
  </r>
  <r>
    <x v="8"/>
    <x v="7"/>
    <n v="181846831.76800004"/>
    <n v="203668451.58016005"/>
    <n v="228108665.76977926"/>
    <n v="255481705.66215277"/>
    <n v="286139510.34161115"/>
    <n v="320476251.58260453"/>
    <n v="358933401.77251703"/>
    <n v="402005409.98521912"/>
    <n v="450246059.18344545"/>
    <n v="504275586.28545892"/>
  </r>
  <r>
    <x v="9"/>
    <x v="0"/>
    <n v="58545450.022500001"/>
    <n v="62058177.023850009"/>
    <n v="65781667.645281017"/>
    <n v="69728567.70399788"/>
    <n v="73912281.766237766"/>
    <n v="78347018.672212034"/>
    <n v="83047839.792544767"/>
    <n v="88030710.180097431"/>
    <n v="93312552.790903285"/>
    <n v="98911305.958357483"/>
  </r>
  <r>
    <x v="9"/>
    <x v="1"/>
    <n v="59097765.588750005"/>
    <n v="63234609.179962501"/>
    <n v="67661031.822559878"/>
    <n v="72397304.05013907"/>
    <n v="77465115.333648816"/>
    <n v="82887673.407004222"/>
    <n v="88689810.545494527"/>
    <n v="94898097.283679143"/>
    <n v="101540964.09353669"/>
    <n v="108648831.58008425"/>
  </r>
  <r>
    <x v="9"/>
    <x v="2"/>
    <n v="59650081.155000001"/>
    <n v="64422087.647400007"/>
    <n v="69575854.659192011"/>
    <n v="75141923.031927377"/>
    <n v="81153276.874481574"/>
    <n v="87645539.02444011"/>
    <n v="94657182.146395311"/>
    <n v="102229756.71810694"/>
    <n v="110408137.25555551"/>
    <n v="119240788.23599994"/>
  </r>
  <r>
    <x v="9"/>
    <x v="3"/>
    <n v="60202396.721250005"/>
    <n v="65620612.426162511"/>
    <n v="71526467.54451713"/>
    <n v="77963849.623523682"/>
    <n v="84980596.089640826"/>
    <n v="92628849.737708509"/>
    <n v="100965446.21410227"/>
    <n v="110052336.37337148"/>
    <n v="119957046.64697492"/>
    <n v="130753180.84520268"/>
  </r>
  <r>
    <x v="9"/>
    <x v="4"/>
    <n v="60478554.504374996"/>
    <n v="66224017.182290629"/>
    <n v="72515298.814608231"/>
    <n v="79404252.201996014"/>
    <n v="86947656.161185637"/>
    <n v="95207683.496498272"/>
    <n v="104252413.42866561"/>
    <n v="114156392.70438884"/>
    <n v="125001250.01130578"/>
    <n v="136876368.76237985"/>
  </r>
  <r>
    <x v="9"/>
    <x v="5"/>
    <n v="60754712.287500001"/>
    <n v="66830183.516250007"/>
    <n v="73513201.867875025"/>
    <n v="80864522.054662526"/>
    <n v="88950974.260128781"/>
    <n v="97846071.68614167"/>
    <n v="107630678.85475585"/>
    <n v="118393746.74023142"/>
    <n v="130233121.41425458"/>
    <n v="143256433.55568007"/>
  </r>
  <r>
    <x v="9"/>
    <x v="6"/>
    <n v="61307027.853750005"/>
    <n v="68050800.917662516"/>
    <n v="75536389.018605396"/>
    <n v="83845391.810651988"/>
    <n v="93068384.909823716"/>
    <n v="103305907.24990433"/>
    <n v="114669557.0473938"/>
    <n v="127283208.32260714"/>
    <n v="141284361.23809394"/>
    <n v="156825640.97428432"/>
  </r>
  <r>
    <x v="9"/>
    <x v="7"/>
    <n v="61859343.420000009"/>
    <n v="69282464.630400017"/>
    <n v="77596360.386048019"/>
    <n v="86907923.63237378"/>
    <n v="97336874.468258634"/>
    <n v="109017299.40444969"/>
    <n v="122099375.33298366"/>
    <n v="136751300.3729417"/>
    <n v="153161456.41769472"/>
    <n v="171540831.18781811"/>
  </r>
  <r>
    <x v="10"/>
    <x v="0"/>
    <n v="189858247.95868"/>
    <n v="201249742.83620083"/>
    <n v="213324727.4063729"/>
    <n v="226124211.05075529"/>
    <n v="239691663.71380064"/>
    <n v="254073163.53662866"/>
    <n v="269317553.34882641"/>
    <n v="285476606.54975599"/>
    <n v="302605202.94274133"/>
    <n v="320761515.11930585"/>
  </r>
  <r>
    <x v="10"/>
    <x v="1"/>
    <n v="191649363.50546002"/>
    <n v="205064818.9508422"/>
    <n v="219419356.27740118"/>
    <n v="234778711.21681923"/>
    <n v="251213221.00199661"/>
    <n v="268798146.47213638"/>
    <n v="287614016.72518593"/>
    <n v="307746997.89594895"/>
    <n v="329289287.74866539"/>
    <n v="352339537.89107198"/>
  </r>
  <r>
    <x v="10"/>
    <x v="2"/>
    <n v="193440479.05224001"/>
    <n v="208915717.37641922"/>
    <n v="225628974.76653278"/>
    <n v="243679292.74785542"/>
    <n v="263173636.16768384"/>
    <n v="284227527.06109858"/>
    <n v="306965729.22598648"/>
    <n v="331522987.5640654"/>
    <n v="358044826.56919068"/>
    <n v="386688412.69472593"/>
  </r>
  <r>
    <x v="10"/>
    <x v="3"/>
    <n v="195231594.59902"/>
    <n v="212802438.11293182"/>
    <n v="231954657.54309571"/>
    <n v="252830576.72197431"/>
    <n v="275585328.62695205"/>
    <n v="300388008.20337772"/>
    <n v="327422928.94168174"/>
    <n v="356890992.54643309"/>
    <n v="389011181.87561214"/>
    <n v="424022188.24441725"/>
  </r>
  <r>
    <x v="10"/>
    <x v="4"/>
    <n v="196127152.37241"/>
    <n v="214759231.84778896"/>
    <n v="235161358.87332889"/>
    <n v="257501687.96629515"/>
    <n v="281964348.32309318"/>
    <n v="308750961.41378707"/>
    <n v="338082302.74809682"/>
    <n v="370200121.509166"/>
    <n v="405369133.05253679"/>
    <n v="443879200.69252783"/>
  </r>
  <r>
    <x v="10"/>
    <x v="5"/>
    <n v="197022710.14580002"/>
    <n v="216724981.16038004"/>
    <n v="238397479.27641809"/>
    <n v="262237227.20405987"/>
    <n v="288460949.92446589"/>
    <n v="317307044.9169125"/>
    <n v="349037749.40860379"/>
    <n v="383941524.34946418"/>
    <n v="422335676.7844106"/>
    <n v="464569244.4628517"/>
  </r>
  <r>
    <x v="10"/>
    <x v="6"/>
    <n v="198813825.69258001"/>
    <n v="220683346.51876384"/>
    <n v="244958514.63582787"/>
    <n v="271903951.24576896"/>
    <n v="301813385.88280356"/>
    <n v="335012858.32991195"/>
    <n v="371864272.74620229"/>
    <n v="412769342.74828464"/>
    <n v="458173970.45059597"/>
    <n v="508573107.20016164"/>
  </r>
  <r>
    <x v="10"/>
    <x v="7"/>
    <n v="200604941.23936003"/>
    <n v="224677534.18808323"/>
    <n v="251638838.29065326"/>
    <n v="281835498.88553166"/>
    <n v="315655758.75179547"/>
    <n v="353534449.80201095"/>
    <n v="395958583.7782523"/>
    <n v="443473613.83164257"/>
    <n v="496690447.4914397"/>
    <n v="556293301.19041252"/>
  </r>
  <r>
    <x v="11"/>
    <x v="0"/>
    <n v="9376299.4199299999"/>
    <n v="9938877.385125801"/>
    <n v="10535210.028233349"/>
    <n v="11167322.62992735"/>
    <n v="11837361.987722993"/>
    <n v="12547603.706986373"/>
    <n v="13300459.929405557"/>
    <n v="14098487.52516989"/>
    <n v="14944396.776680084"/>
    <n v="15841060.583280889"/>
  </r>
  <r>
    <x v="11"/>
    <x v="1"/>
    <n v="9464755.0748350006"/>
    <n v="10127287.930073449"/>
    <n v="10836198.085178591"/>
    <n v="11594731.951141093"/>
    <n v="12406363.187720969"/>
    <n v="13274808.610861437"/>
    <n v="14204045.213621739"/>
    <n v="15198328.37857526"/>
    <n v="16262211.36507553"/>
    <n v="17400566.160630815"/>
  </r>
  <r>
    <x v="11"/>
    <x v="2"/>
    <n v="9553210.7297399994"/>
    <n v="10317467.588119199"/>
    <n v="11142864.995168736"/>
    <n v="12034294.194782237"/>
    <n v="12997037.730364816"/>
    <n v="14036800.748794002"/>
    <n v="15159744.808697524"/>
    <n v="16372524.393393325"/>
    <n v="17682326.344864793"/>
    <n v="19096912.452453978"/>
  </r>
  <r>
    <x v="11"/>
    <x v="3"/>
    <n v="9641666.3846450001"/>
    <n v="10509416.359263051"/>
    <n v="11455263.831596725"/>
    <n v="12486237.576440431"/>
    <n v="13609998.958320072"/>
    <n v="14834898.86456888"/>
    <n v="16170039.762380078"/>
    <n v="17625343.340994287"/>
    <n v="19211624.241683774"/>
    <n v="20940670.423435315"/>
  </r>
  <r>
    <x v="11"/>
    <x v="4"/>
    <n v="9685894.2120974995"/>
    <n v="10606054.162246762"/>
    <n v="11613629.307660203"/>
    <n v="12716924.091887923"/>
    <n v="13925031.880617276"/>
    <n v="15247909.909275917"/>
    <n v="16696461.35065713"/>
    <n v="18282625.178969558"/>
    <n v="20019474.570971664"/>
    <n v="21921324.655213974"/>
  </r>
  <r>
    <x v="11"/>
    <x v="5"/>
    <n v="9730122.0395500008"/>
    <n v="10703134.243505001"/>
    <n v="11773447.667855503"/>
    <n v="12950792.434641052"/>
    <n v="14245871.678105159"/>
    <n v="15670458.845915677"/>
    <n v="17237504.730507247"/>
    <n v="18961255.203557968"/>
    <n v="20857380.72391377"/>
    <n v="22943118.79630515"/>
  </r>
  <r>
    <x v="11"/>
    <x v="6"/>
    <n v="9818577.6944549996"/>
    <n v="10898621.240845051"/>
    <n v="12097469.577338006"/>
    <n v="13428191.230845189"/>
    <n v="14905292.26623816"/>
    <n v="16544874.41552436"/>
    <n v="18364810.601232037"/>
    <n v="20384939.767367568"/>
    <n v="22627283.141778003"/>
    <n v="25116284.287373584"/>
  </r>
  <r>
    <x v="11"/>
    <x v="7"/>
    <n v="9907033.3493600003"/>
    <n v="11095877.3512832"/>
    <n v="12427382.633437186"/>
    <n v="13918668.549449649"/>
    <n v="15588908.775383607"/>
    <n v="17459577.828429643"/>
    <n v="19554727.1678412"/>
    <n v="21901294.427982144"/>
    <n v="24529449.759340003"/>
    <n v="27472983.730460808"/>
  </r>
</pivotCacheRecords>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s v="PT Alamtri Resources Indonesia Tbk (XIDX:ADRO)"/>
    <s v="Energy"/>
    <n v="212"/>
  </r>
  <r>
    <x v="1"/>
    <s v="PT Astra International Tbk (XIDX:ASII)"/>
    <s v="Industrials"/>
    <n v="139"/>
  </r>
  <r>
    <x v="2"/>
    <s v="PT Bank Central Asia Tbk (XIDX:BBCA)"/>
    <s v="Financials"/>
    <n v="178"/>
  </r>
  <r>
    <x v="3"/>
    <s v="PT Bank Rakyat Indonesia (Persero) Tbk (XIDX:BBRI)"/>
    <s v="Financials"/>
    <n v="155"/>
  </r>
  <r>
    <x v="4"/>
    <s v="PT Barito Renewables Energy Tbk (XIDX:BREN)"/>
    <s v="Infrastructures"/>
    <n v="101"/>
  </r>
  <r>
    <x v="5"/>
    <s v="PT GoTo Gojek Tokopedia Tbk (XIDX:GOTO)"/>
    <s v="Technology"/>
    <n v="56"/>
  </r>
  <r>
    <x v="6"/>
    <s v="PT Indofood CBP Sukses Makmur Tbk (XIDX:ICBP)"/>
    <s v="Consumer Non-Cyclicals"/>
    <n v="80"/>
  </r>
  <r>
    <x v="7"/>
    <s v="PT Indofood Sukses Makmur Tbk (XIDX:INDF)"/>
    <s v="Consumer Non-Cyclicals"/>
    <n v="13"/>
  </r>
  <r>
    <x v="8"/>
    <s v="PT Indo Tambangraya Megah Tbk (XIDX:ITMG)"/>
    <s v="Energy"/>
    <n v="63"/>
  </r>
  <r>
    <x v="9"/>
    <s v="PT Telkom Indonesia (Persero) Tbk (XIDX:TLKM)"/>
    <s v="Infrastructures"/>
    <n v="101"/>
  </r>
  <r>
    <x v="10"/>
    <s v="PT United Tractors Tbk (XIDX:UNTR)"/>
    <s v="Industrials"/>
    <n v="48"/>
  </r>
  <r>
    <x v="11"/>
    <s v="PT Unilever Indonesia Tbk (XIDX:UNVR)"/>
    <s v="Consumer Non-Cyclicals"/>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2B35A-BF41-5645-92E7-61701380F7E9}" name="PivotTable4" cacheId="2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K10:L23" firstHeaderRow="1" firstDataRow="1" firstDataCol="1"/>
  <pivotFields count="4">
    <pivotField axis="axisRow" showAll="0">
      <items count="13">
        <item x="0"/>
        <item x="1"/>
        <item x="2"/>
        <item x="3"/>
        <item x="4"/>
        <item x="5"/>
        <item x="6"/>
        <item x="7"/>
        <item x="8"/>
        <item x="9"/>
        <item x="10"/>
        <item x="11"/>
        <item t="default"/>
      </items>
    </pivotField>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Total Lot" fld="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DAE411-49B5-EC4F-960A-80A3EF8EA24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6:T7" firstHeaderRow="0" firstDataRow="1" firstDataCol="0"/>
  <pivotFields count="12">
    <pivotField showAll="0">
      <items count="13">
        <item h="1" x="0"/>
        <item h="1" x="1"/>
        <item h="1" x="2"/>
        <item h="1" x="3"/>
        <item h="1" x="4"/>
        <item h="1" x="5"/>
        <item h="1" x="6"/>
        <item h="1" x="7"/>
        <item h="1" x="8"/>
        <item x="9"/>
        <item h="1" x="10"/>
        <item h="1" x="11"/>
        <item t="default"/>
      </items>
    </pivotField>
    <pivotField showAll="0">
      <items count="9">
        <item x="0"/>
        <item h="1" x="1"/>
        <item h="1" x="2"/>
        <item h="1" x="3"/>
        <item h="1" x="4"/>
        <item h="1" x="5"/>
        <item h="1" x="6"/>
        <item h="1" x="7"/>
        <item t="default"/>
      </items>
    </pivotField>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 dataField="1" numFmtId="166" showAll="0"/>
  </pivotFields>
  <rowItems count="1">
    <i/>
  </rowItems>
  <colFields count="1">
    <field x="-2"/>
  </colFields>
  <colItems count="10">
    <i>
      <x/>
    </i>
    <i i="1">
      <x v="1"/>
    </i>
    <i i="2">
      <x v="2"/>
    </i>
    <i i="3">
      <x v="3"/>
    </i>
    <i i="4">
      <x v="4"/>
    </i>
    <i i="5">
      <x v="5"/>
    </i>
    <i i="6">
      <x v="6"/>
    </i>
    <i i="7">
      <x v="7"/>
    </i>
    <i i="8">
      <x v="8"/>
    </i>
    <i i="9">
      <x v="9"/>
    </i>
  </colItems>
  <dataFields count="10">
    <dataField name="[2027]" fld="2" baseField="0" baseItem="0" numFmtId="166"/>
    <dataField name="[2028]" fld="3" baseField="0" baseItem="0" numFmtId="166"/>
    <dataField name="[2029]" fld="4" baseField="0" baseItem="0" numFmtId="166"/>
    <dataField name="[2030]" fld="5" baseField="0" baseItem="0" numFmtId="166"/>
    <dataField name="[2031]" fld="6" baseField="0" baseItem="0" numFmtId="166"/>
    <dataField name="[2032]" fld="7" baseField="0" baseItem="0" numFmtId="166"/>
    <dataField name="[2033]" fld="8" baseField="0" baseItem="0" numFmtId="166"/>
    <dataField name="[2034]" fld="9" baseField="0" baseItem="0" numFmtId="166"/>
    <dataField name="[2035]" fld="10" baseField="0" baseItem="0" numFmtId="166"/>
    <dataField name="[2036]" fld="11" baseField="0" baseItem="0" numFmtId="166"/>
  </dataFields>
  <chartFormats count="20">
    <chartFormat chart="2" format="2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series="1">
      <pivotArea type="data" outline="0" fieldPosition="0">
        <references count="1">
          <reference field="4294967294" count="1" selected="0">
            <x v="3"/>
          </reference>
        </references>
      </pivotArea>
    </chartFormat>
    <chartFormat chart="2" format="24" series="1">
      <pivotArea type="data" outline="0" fieldPosition="0">
        <references count="1">
          <reference field="4294967294" count="1" selected="0">
            <x v="4"/>
          </reference>
        </references>
      </pivotArea>
    </chartFormat>
    <chartFormat chart="2" format="25" series="1">
      <pivotArea type="data" outline="0" fieldPosition="0">
        <references count="1">
          <reference field="4294967294" count="1" selected="0">
            <x v="5"/>
          </reference>
        </references>
      </pivotArea>
    </chartFormat>
    <chartFormat chart="2" format="26" series="1">
      <pivotArea type="data" outline="0" fieldPosition="0">
        <references count="1">
          <reference field="4294967294" count="1" selected="0">
            <x v="6"/>
          </reference>
        </references>
      </pivotArea>
    </chartFormat>
    <chartFormat chart="2" format="27" series="1">
      <pivotArea type="data" outline="0" fieldPosition="0">
        <references count="1">
          <reference field="4294967294" count="1" selected="0">
            <x v="7"/>
          </reference>
        </references>
      </pivotArea>
    </chartFormat>
    <chartFormat chart="2" format="28" series="1">
      <pivotArea type="data" outline="0" fieldPosition="0">
        <references count="1">
          <reference field="4294967294" count="1" selected="0">
            <x v="8"/>
          </reference>
        </references>
      </pivotArea>
    </chartFormat>
    <chartFormat chart="2" format="29" series="1">
      <pivotArea type="data" outline="0" fieldPosition="0">
        <references count="1">
          <reference field="4294967294" count="1" selected="0">
            <x v="9"/>
          </reference>
        </references>
      </pivotArea>
    </chartFormat>
    <chartFormat chart="2" format="30">
      <pivotArea type="data" outline="0" fieldPosition="0">
        <references count="1">
          <reference field="4294967294" count="1" selected="0">
            <x v="0"/>
          </reference>
        </references>
      </pivotArea>
    </chartFormat>
    <chartFormat chart="2" format="31">
      <pivotArea type="data" outline="0" fieldPosition="0">
        <references count="1">
          <reference field="4294967294" count="1" selected="0">
            <x v="9"/>
          </reference>
        </references>
      </pivotArea>
    </chartFormat>
    <chartFormat chart="2" format="32">
      <pivotArea type="data" outline="0" fieldPosition="0">
        <references count="1">
          <reference field="4294967294" count="1" selected="0">
            <x v="1"/>
          </reference>
        </references>
      </pivotArea>
    </chartFormat>
    <chartFormat chart="2" format="33">
      <pivotArea type="data" outline="0" fieldPosition="0">
        <references count="1">
          <reference field="4294967294" count="1" selected="0">
            <x v="2"/>
          </reference>
        </references>
      </pivotArea>
    </chartFormat>
    <chartFormat chart="2" format="34">
      <pivotArea type="data" outline="0" fieldPosition="0">
        <references count="1">
          <reference field="4294967294" count="1" selected="0">
            <x v="3"/>
          </reference>
        </references>
      </pivotArea>
    </chartFormat>
    <chartFormat chart="2" format="35">
      <pivotArea type="data" outline="0" fieldPosition="0">
        <references count="1">
          <reference field="4294967294" count="1" selected="0">
            <x v="4"/>
          </reference>
        </references>
      </pivotArea>
    </chartFormat>
    <chartFormat chart="2" format="36">
      <pivotArea type="data" outline="0" fieldPosition="0">
        <references count="1">
          <reference field="4294967294" count="1" selected="0">
            <x v="5"/>
          </reference>
        </references>
      </pivotArea>
    </chartFormat>
    <chartFormat chart="2" format="37">
      <pivotArea type="data" outline="0" fieldPosition="0">
        <references count="1">
          <reference field="4294967294" count="1" selected="0">
            <x v="6"/>
          </reference>
        </references>
      </pivotArea>
    </chartFormat>
    <chartFormat chart="2" format="38">
      <pivotArea type="data" outline="0" fieldPosition="0">
        <references count="1">
          <reference field="4294967294" count="1" selected="0">
            <x v="7"/>
          </reference>
        </references>
      </pivotArea>
    </chartFormat>
    <chartFormat chart="2" format="39">
      <pivotArea type="data" outline="0" fieldPosition="0">
        <references count="1">
          <reference field="429496729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
  <a r="13">
    <v t="r">2</v>
    <v t="r">5</v>
    <v t="r">8</v>
    <v t="r">11</v>
    <v t="r">13</v>
    <v t="r">16</v>
    <v t="r">19</v>
    <v t="r">22</v>
    <v t="r">25</v>
    <v t="r">28</v>
    <v t="r">31</v>
    <v t="r">34</v>
    <v t="i">2</v>
  </a>
</arrayData>
</file>

<file path=xl/richData/rdrichvalue.xml><?xml version="1.0" encoding="utf-8"?>
<rvData xmlns="http://schemas.microsoft.com/office/spreadsheetml/2017/richdata" count="37">
  <rv s="0">
    <v>https://www.bing.com/financeapi/forcetrigger?t=bn917w&amp;q=XIDX%3aADRO&amp;form=skydnc</v>
    <v>Learn more on Bing</v>
  </rv>
  <rv s="1">
    <v>0</v>
    <v>PT Alamtri Resources Indonesia Tbk (XIDX:ADRO)</v>
    <v>2</v>
    <v>3</v>
    <v>Finance</v>
    <v>4</v>
    <v>en-US</v>
    <v>bn917w</v>
    <v>268435456</v>
    <v>1</v>
    <v>Powered by Refinitiv</v>
    <v>2700</v>
    <v>1625</v>
    <v>0.91610000000000003</v>
    <v>-80</v>
    <v>-3.0769000000000001E-2</v>
    <v>IDR</v>
    <v>PT Alamtri Resources Indonesia Tbk is an integrated mining and energy company. The Company focuses on metallurgical coal mining, mineral processing, mining services, and renewable energy businesses. Its segments include Coal mining and trading, Mining Services, Logistics and Other. The Company, through its subsidiary, PT Alamtri Minerals Indonesia Tbk engages in metallurgical coal mining. The Company, through its subsidiary PT Saptaindra Sejati (SIS), operates a mining services business. SIS is a mining contractor, offering various mining services, including mine planning and operations, mining equipment provision, construction work, equipment rental services, machinery repair services, and other mining-related services. Additionally, the Company operates in the renewable energy sector through its subsidiary PT Alamtri Renewables Indonesia. Its flagship metallurgical coal product, Enviromet, is a hard coking coal which is used in steelmaking.</v>
    <v>10488</v>
    <v>Indonesia Stock Exchange</v>
    <v>XIDX</v>
    <v>XIDX</v>
    <v>Jl. H.R. Rasuna Said, Blok X-5, Kav. 1-2, JAKARTA SELATAN, DKI JAKARTA, 12950 ID</v>
    <v>2570</v>
    <v>Coal</v>
    <v>Stock</v>
    <v>46155.385416666664</v>
    <v>0</v>
    <v>2500</v>
    <v>73934980000000</v>
    <v>PT Alamtri Resources Indonesia Tbk</v>
    <v>PT Alamtri Resources Indonesia Tbk</v>
    <v>2570</v>
    <v>2600</v>
    <v>2520</v>
    <v>29389690000</v>
    <v>ADRO</v>
    <v>PT Alamtri Resources Indonesia Tbk (XIDX:ADRO)</v>
    <v>39174000</v>
    <v>88948020.370399997</v>
    <v>2004</v>
  </rv>
  <rv s="2">
    <v>1</v>
  </rv>
  <rv s="0">
    <v>https://www.bing.com/financeapi/forcetrigger?t=bn91gh&amp;q=XIDX%3aASII&amp;form=skydnc</v>
    <v>Learn more on Bing</v>
  </rv>
  <rv s="1">
    <v>0</v>
    <v>PT Astra International Tbk (XIDX:ASII)</v>
    <v>2</v>
    <v>3</v>
    <v>Finance</v>
    <v>4</v>
    <v>en-US</v>
    <v>bn91gh</v>
    <v>268435456</v>
    <v>1</v>
    <v>Powered by Refinitiv</v>
    <v>7475</v>
    <v>4400</v>
    <v>1.0428999999999999</v>
    <v>-100</v>
    <v>-1.7094000000000002E-2</v>
    <v>IDR</v>
    <v>PT Astra International Tbk is an Indonesia-based company that is engaged in general trading, industry, mining, transportation, agriculture, construction, services, and consultancy. The Company has seven segments. The Automotive segment includes the wholesale of cars, trucks, and motorcycles, the provision of after-sales services, and the manufacture of automotive components. Its Financial Services segment comprises automotive financing and insurance businesses. Its Heavy Equipment and Mining segment covers sales of construction machinery, mining contracting, and coal mining. Its Agribusiness focuses on the oil palm plantations and their derivative products. Its Infrastructure and Logistics segment includes construction and management of toll roads and seaports and provides transportation and logistics services. Its Information Technology (IT) segment comprises document solutions, IT Solutions, and office solutions. Its Property segment develops residential and commercial properties.</v>
    <v>195752</v>
    <v>Indonesia Stock Exchange</v>
    <v>XIDX</v>
    <v>XIDX</v>
    <v>Menara Astra Lt 58-63, Jl. Jendral Sudirman Kav 5-6, Jakarta, JAKARTA PUSAT, DKI JAKARTA, 10220 ID</v>
    <v>5900</v>
    <v>Consumer Goods Conglomerates</v>
    <v>Stock</v>
    <v>46155.385416666664</v>
    <v>3</v>
    <v>5750</v>
    <v>232381200000000</v>
    <v>PT Astra International Tbk</v>
    <v>PT Astra International Tbk</v>
    <v>5850</v>
    <v>5850</v>
    <v>5750</v>
    <v>40483550000</v>
    <v>ASII</v>
    <v>PT Astra International Tbk (XIDX:ASII)</v>
    <v>32026500</v>
    <v>37739264.814800002</v>
    <v>1957</v>
  </rv>
  <rv s="2">
    <v>4</v>
  </rv>
  <rv s="0">
    <v>https://www.bing.com/financeapi/forcetrigger?t=bn91jc&amp;q=XIDX%3aBBCA&amp;form=skydnc</v>
    <v>Learn more on Bing</v>
  </rv>
  <rv s="1">
    <v>0</v>
    <v>PT Bank Central Asia Tbk (XIDX:BBCA)</v>
    <v>2</v>
    <v>3</v>
    <v>Finance</v>
    <v>4</v>
    <v>en-US</v>
    <v>bn91jc</v>
    <v>268435456</v>
    <v>1</v>
    <v>Powered by Refinitiv</v>
    <v>9800</v>
    <v>5800</v>
    <v>0.70140000000000002</v>
    <v>-25</v>
    <v>-4.0819999999999997E-3</v>
    <v>IDR</v>
    <v>PT Bank Central Asia Tbk (the Bank) is an Indonesia-based commercial bank. The Bank’s segments include Transaction Banking, Corporate Banking, Commercial &amp; Small &amp; Medium Enterprise (SME) Banking, Individual Banking, and Treasury and International Banking. Its geographic areas include Sumatera, Java, Kalimantan, East Indonesia and overseas operation. The Bank offers various products and services, which include deposits accounts, cash management services, transaction banking services, credit cards, bancassurance products, electronic banking, mutual fund investment product, export import facilities, foreign exchange facilities, and others. It provides a variety of international banking services, such as cross border remittances, trade fi nance, and other services for banks and financial institutions. Its subsidiaries include PT BCA Finance, BCA Finance Limited, PT Bank BCA Syariah, PT BCA Sekuritas, PT Asuransi Umum BCA, PT BCA Multi Finance, and others.</v>
    <v>27682</v>
    <v>Indonesia Stock Exchange</v>
    <v>XIDX</v>
    <v>XIDX</v>
    <v>Menara BCA, Grand, Jl. MH Thamrin No. 1, JAKARTA PUSAT, DKI JAKARTA, 10310 ID</v>
    <v>6200</v>
    <v>Banking Services</v>
    <v>Stock</v>
    <v>46155.385416666664</v>
    <v>6</v>
    <v>6025</v>
    <v>744458000000000</v>
    <v>PT Bank Central Asia Tbk</v>
    <v>PT Bank Central Asia Tbk</v>
    <v>6125</v>
    <v>6125</v>
    <v>6100</v>
    <v>122042300000</v>
    <v>BBCA</v>
    <v>PT Bank Central Asia Tbk (XIDX:BBCA)</v>
    <v>147339600</v>
    <v>153820461.11109999</v>
    <v>1955</v>
  </rv>
  <rv s="2">
    <v>7</v>
  </rv>
  <rv s="0">
    <v>https://www.bing.com/financeapi/forcetrigger?t=bn91p2&amp;q=XIDX%3aBBRI&amp;form=skydnc</v>
    <v>Learn more on Bing</v>
  </rv>
  <rv s="1">
    <v>0</v>
    <v>PT Bank Rakyat Indonesia (Persero) Tbk (XIDX:BBRI)</v>
    <v>2</v>
    <v>3</v>
    <v>Finance</v>
    <v>4</v>
    <v>en-US</v>
    <v>bn91p2</v>
    <v>268435456</v>
    <v>1</v>
    <v>Powered by Refinitiv</v>
    <v>4450</v>
    <v>2980</v>
    <v>1.2726</v>
    <v>-100</v>
    <v>-3.1056E-2</v>
    <v>IDR</v>
    <v>PT Bank Rakyat Indonesia (Persero) Tbk operates in the banking sector. It collects funds from the public in the form of savings and other liabilities and provides loans to borrowers to help to finance business expansion. Its segments include Micro, Retail Business, Corporate, Others, and Subsidiaries. The Micro segment is intended to serve the needs of banking products and services for individual customers and micro-entrepreneurs in the context of empowering community businesses. Retail Business is intended to serve small and medium entrepreneurs, including through consumer and commercial banking products and services. Corporate segment includes corporate business, institutional business and transaction banking, syndication business and non-bank financial institution services. Other segments include treasury business, international business and capital market support services business. It offers savings products, such as BRI BritAma Savings, BRI Simpedes Savings, and BRI Junio Savings.</v>
    <v>82203</v>
    <v>Indonesia Stock Exchange</v>
    <v>XIDX</v>
    <v>XIDX</v>
    <v>Gedung BRI, Jl. Jenderal Sudirman Kav.44-46, Jakarta Pusat, DKI JAKARTA, 10210 ID</v>
    <v>3210</v>
    <v>Banking Services</v>
    <v>Stock</v>
    <v>46155.385416666664</v>
    <v>9</v>
    <v>3120</v>
    <v>468135500000000</v>
    <v>PT Bank Rakyat Indonesia (Persero) Tbk</v>
    <v>PT Bank Rakyat Indonesia (Persero) Tbk</v>
    <v>3200</v>
    <v>3220</v>
    <v>3120</v>
    <v>150043400000</v>
    <v>BBRI</v>
    <v>PT Bank Rakyat Indonesia (Persero) Tbk (XIDX:BBRI)</v>
    <v>155231500</v>
    <v>234709398.14809999</v>
    <v>1992</v>
  </rv>
  <rv s="2">
    <v>10</v>
  </rv>
  <rv s="3">
    <v>5</v>
    <v>PT Barito Renewables Energy Tbk (XIDX:BREN)</v>
    <v>6</v>
    <v>7</v>
    <v>Finance</v>
    <v>4</v>
    <v>en-US</v>
    <v>cb1ra2</v>
    <v>268435456</v>
    <v>1</v>
    <v>Powered by Refinitiv</v>
    <v>10725</v>
    <v>3200</v>
    <v>-410</v>
    <v>-0.11357300000000001</v>
    <v>IDR</v>
    <v>PT Barito Renewables Energy Tbk is an Indonesia-based holding company. The Company is engaged in other management consulting activities, power generation and geothermal power business. It operates through Star Energy Geothermal (Wayang Windu) Limited (SEGWWL); Star Energy Geothermal Darajat II, Limited (SEGD-II); Star Energy Geothermal Salak, Ltd. (SEGSL); PT Star Energy Geothermal Indonesia; PT Star Energy Geothermal Suoh Sekincau, and PLTB Sidrap. SEGWW is located 40 kilometers (km) south of Bandung in West Java and operates a total of 230.5 MW for the Java-Madura-Bali grid. SEGD-II operates 274.5 MW of steam and electricity capacity. SEGD II supplies geothermal steam to the 55 MW power plant operated by PLN. SEGSL is located around 70 km from Jakarta and supplies geothermal steam to generate electricity from a 180 MW power plant operated by PLN. SEGSL also supplies geothermal steam and operates 201 MW power plants that generates electricity for the Java-Madura-Bali grid.</v>
    <v>710</v>
    <v>Indonesia Stock Exchange</v>
    <v>XIDX</v>
    <v>XIDX</v>
    <v>Wisma Barito Pacific II, Lantai 23, Jl. Let. Jend. S. Parman Kav. 60, RT 010, RW 005,, Slipi, Palmerah, JAKARTA, DKI JAKARTA, 11410 ID</v>
    <v>3490</v>
    <v>Electrical Utilities &amp; IPPs</v>
    <v>Stock</v>
    <v>46155.385416666664</v>
    <v>3200</v>
    <v>427381600000000</v>
    <v>PT Barito Renewables Energy Tbk</v>
    <v>PT Barito Renewables Energy Tbk</v>
    <v>3430</v>
    <v>3610</v>
    <v>3200</v>
    <v>133786200000</v>
    <v>BREN</v>
    <v>PT Barito Renewables Energy Tbk (XIDX:BREN)</v>
    <v>80031300</v>
    <v>18379770.3704</v>
  </rv>
  <rv s="2">
    <v>12</v>
  </rv>
  <rv s="0">
    <v>https://www.bing.com/financeapi/forcetrigger?t=c5tv8m&amp;q=XIDX%3aGOTO&amp;form=skydnc</v>
    <v>Learn more on Bing</v>
  </rv>
  <rv s="4">
    <v>8</v>
    <v>PT GoTo Gojek Tokopedia Tbk (XIDX:GOTO)</v>
    <v>2</v>
    <v>9</v>
    <v>Finance</v>
    <v>4</v>
    <v>en-US</v>
    <v>c5tv8m</v>
    <v>268435456</v>
    <v>1</v>
    <v>Powered by Refinitiv</v>
    <v>83</v>
    <v>50</v>
    <v>0.54120000000000001</v>
    <v>0</v>
    <v>0</v>
    <v>IDR</v>
    <v>PT GoTo Gojek Tokopedia Tbk is an Indonesia-based company, which offers a digital ecosystem. The Company is engaged in the business of holding company, other management consulting activities, software publishing, organizing trade transactions through electronic systems, advertising, and data management. Its segments include on-demand services, e-commerce, financial technology, and all other segments. The on-demand services segment represents its Gojek platform that connects driver’s partners, merchants, and users. The e-commerce segment represents its Tokopedia marketplace platform, which connects consumers with merchants, encompassing local entrepreneurs, convenience shops, and small and medium enterprises, through to global brands and retailers. The financial technology segment represents its integrated financial technology services that support merchants in selling their goods and services, which include e-money services, lending, payment gateway services, and others.</v>
    <v>3505</v>
    <v>Indonesia Stock Exchange</v>
    <v>XIDX</v>
    <v>XIDX</v>
    <v>Pasaraya Blok M Gedung B Lt. 6, Jalan Iskandarsyah II No.7, RW. 2, Melawai, Kebayoran, Baru, RT.3/RW.1, Melawai, Kby. Baru, JAKARTA SELATAN, DKI JAKARTA, 12160 ID</v>
    <v>51</v>
    <v>Software &amp; IT Services</v>
    <v>Stock</v>
    <v>46155.385416666664</v>
    <v>14</v>
    <v>50</v>
    <v>57028660000000</v>
    <v>PT GoTo Gojek Tokopedia Tbk</v>
    <v>PT GoTo Gojek Tokopedia Tbk</v>
    <v>50</v>
    <v>50</v>
    <v>50</v>
    <v>1191145000000</v>
    <v>GOTO</v>
    <v>PT GoTo Gojek Tokopedia Tbk (XIDX:GOTO)</v>
    <v>993936500</v>
    <v>4251640550</v>
  </rv>
  <rv s="2">
    <v>15</v>
  </rv>
  <rv s="0">
    <v>https://www.bing.com/financeapi/forcetrigger?t=bkgsim&amp;q=XIDX%3aICBP&amp;form=skydnc</v>
    <v>Learn more on Bing</v>
  </rv>
  <rv s="1">
    <v>0</v>
    <v>PT Indofood CBP Sukses Makmur Tbk (XIDX:ICBP)</v>
    <v>2</v>
    <v>3</v>
    <v>Finance</v>
    <v>4</v>
    <v>en-US</v>
    <v>bkgsim</v>
    <v>268435456</v>
    <v>1</v>
    <v>Powered by Refinitiv</v>
    <v>11475</v>
    <v>6650</v>
    <v>0.2049</v>
    <v>-125</v>
    <v>-1.7985999999999999E-2</v>
    <v>IDR</v>
    <v>PT Indofood CBP Sukses Makmur Tbk is a consumer goods company, which offers a range of product categories, including noodles, dairy, snack foods, food seasonings, nutrition and special foods, and beverages. It also operates a packaging business that produces flexible and corrugated packaging for its products. Its Noodles Division is an instant noodles manufacturer. The Dairy Division offers dairy products, ranging from sweetened condensed milk, liquid milk, and powdered milk to ice cream, butter, and others. The Snack Foods division offers snacks made from potato, cassava, corn, and soybean. The Beverages Division produces a range of beverage products, including ready-to-drink teas, packaged water and fruit-flavored drinks marketed under the brands Ichi Ocha, Club, and Fruitamin. Food Seasonings division offers culinary products, including soy sauce, chili sauce, tomato sauce and stock soup. Nutrition and Special Foods division offers baby cereals, follow-on cereal and baby biscuits.</v>
    <v>37111</v>
    <v>Indonesia Stock Exchange</v>
    <v>XIDX</v>
    <v>XIDX</v>
    <v>Sudirman Plaza Indofood Tower 23th Floor, Jl. Jend. Sudirman Kav 76-78, DKI JAKARTA, 12910 ID</v>
    <v>6925</v>
    <v>Food &amp; Tobacco</v>
    <v>Stock</v>
    <v>46155.385416666664</v>
    <v>17</v>
    <v>6800</v>
    <v>79592520000000</v>
    <v>PT Indofood CBP Sukses Makmur Tbk</v>
    <v>PT Indofood CBP Sukses Makmur Tbk</v>
    <v>6925</v>
    <v>6950</v>
    <v>6825</v>
    <v>11661910000</v>
    <v>ICBP</v>
    <v>PT Indofood CBP Sukses Makmur Tbk (XIDX:ICBP)</v>
    <v>4991500</v>
    <v>6021996.2962999996</v>
    <v>2009</v>
  </rv>
  <rv s="2">
    <v>18</v>
  </rv>
  <rv s="0">
    <v>https://www.bing.com/financeapi/forcetrigger?t=bn96fr&amp;q=XIDX%3aINDF&amp;form=skydnc</v>
    <v>Learn more on Bing</v>
  </rv>
  <rv s="1">
    <v>0</v>
    <v>PT Indofood Sukses Makmur Tbk (XIDX:INDF)</v>
    <v>2</v>
    <v>3</v>
    <v>Finance</v>
    <v>4</v>
    <v>en-US</v>
    <v>bn96fr</v>
    <v>268435456</v>
    <v>1</v>
    <v>Powered by Refinitiv</v>
    <v>8825</v>
    <v>5900</v>
    <v>0.13020000000000001</v>
    <v>-150</v>
    <v>-2.1505E-2</v>
    <v>IDR</v>
    <v>PT Indofood Sukses Makmur Tbk is a total food solutions company. The Company has operations in all stages of food manufacturing, from the production of raw materials and their processing to consumer products in the market. The Company's Consumer Branded Products Business Group produces a range of consumer-branded products, including noodles, dairy, snack foods, food seasonings, nutrition and special foods, and beverages. The Bogasari Business Group is primarily a producer of wheat flour as well as pasta, with business operations supported by its own shipping and packaging units. The Agribusiness Group principal activities range from research and development, seed breeding, oil palm cultivation and milling, to the production and marketing of branded cooking oils, margarine, and shortening. The Distribution Business Group distributes various consumer products manufactured by the Company, and its subsidiaries, as well as by third parties, to the market. Its products have various brands.</v>
    <v>98075</v>
    <v>Indonesia Stock Exchange</v>
    <v>XIDX</v>
    <v>XIDX</v>
    <v>Sudirman Plaza, Indofood Tower, Lt. 27, Jl. Jend. Sudirman Kav. 76-78, JAKARTA, DKI JAKARTA, 12910 ID</v>
    <v>6975</v>
    <v>Food &amp; Tobacco</v>
    <v>Stock</v>
    <v>46155.385416666664</v>
    <v>20</v>
    <v>6775</v>
    <v>59926410000000</v>
    <v>PT Indofood Sukses Makmur Tbk</v>
    <v>PT Indofood Sukses Makmur Tbk</v>
    <v>6975</v>
    <v>6975</v>
    <v>6825</v>
    <v>8780427000</v>
    <v>INDF</v>
    <v>PT Indofood Sukses Makmur Tbk (XIDX:INDF)</v>
    <v>7820400</v>
    <v>20266925.925900001</v>
    <v>1991</v>
  </rv>
  <rv s="2">
    <v>21</v>
  </rv>
  <rv s="0">
    <v>https://www.bing.com/financeapi/forcetrigger?t=bn95ur&amp;q=XIDX%3aITMG&amp;form=skydnc</v>
    <v>Learn more on Bing</v>
  </rv>
  <rv s="1">
    <v>0</v>
    <v>PT Indo Tambangraya Megah Tbk (XIDX:ITMG)</v>
    <v>2</v>
    <v>3</v>
    <v>Finance</v>
    <v>4</v>
    <v>en-US</v>
    <v>bn95ur</v>
    <v>268435456</v>
    <v>1</v>
    <v>Powered by Refinitiv</v>
    <v>30700</v>
    <v>20900</v>
    <v>0.1341</v>
    <v>-150</v>
    <v>-6.2239999999999995E-3</v>
    <v>IDR</v>
    <v>PT Indo Tambangraya Megah Tbk is an Indonesia-based company engaged in mining, processing, and logistics activities. Its core business consists of coal mining operations and coal sales. The Company also runs supporting activities, including coal terminal operations, port loading facilities, supported with power plant operations, mining contractors, and fuel distribution. Its segments include PT Indominco Mandiri (IMM), PT Trubaindo Coal Mining (TCM), PT Kitadin (KTD), PT Jorong Barutama Greston (JBG), Bharinto, PT Bharinto Ekatama (BEK), and Other coal. Its upstream business is focused on coal mining, blending, and sales. Its energy supply chain management business is engaged in fuel distribution, sales, and logistics, as well as the empowerment of internal mining contractors. Its downstream business includes the development of power plants and renewable energy ventures. Its subsidiaries are PT Indominco Mandiri, PT Trubaindo Coal Mining, PT Bharinto Ekatama, PT Kitadin, among others.</v>
    <v>1631</v>
    <v>Indonesia Stock Exchange</v>
    <v>XIDX</v>
    <v>XIDX</v>
    <v>Pondok Indah Office Tower III,, 3rd Floor, Jalan Sultan Iskandar Muda, Pondok Indah Kav V-TA, JAKARTA SELATAN, DKI JAKARTA, 12310 ID</v>
    <v>24075</v>
    <v>Coal</v>
    <v>Stock</v>
    <v>46155.385416666664</v>
    <v>23</v>
    <v>23550</v>
    <v>27015290000000</v>
    <v>PT Indo Tambangraya Megah Tbk</v>
    <v>PT Indo Tambangraya Megah Tbk</v>
    <v>24075</v>
    <v>24100</v>
    <v>23950</v>
    <v>1129925000</v>
    <v>ITMG</v>
    <v>PT Indo Tambangraya Megah Tbk (XIDX:ITMG)</v>
    <v>837200</v>
    <v>3994961.1110999999</v>
    <v>1989</v>
  </rv>
  <rv s="2">
    <v>24</v>
  </rv>
  <rv s="0">
    <v>https://www.bing.com/financeapi/forcetrigger?t=bn9o8m&amp;q=XIDX%3aTLKM&amp;form=skydnc</v>
    <v>Learn more on Bing</v>
  </rv>
  <rv s="1">
    <v>0</v>
    <v>PT Telkom Indonesia (Persero) Tbk (XIDX:TLKM)</v>
    <v>2</v>
    <v>3</v>
    <v>Finance</v>
    <v>4</v>
    <v>en-US</v>
    <v>bn9o8m</v>
    <v>268435456</v>
    <v>1</v>
    <v>Powered by Refinitiv</v>
    <v>3990</v>
    <v>2530</v>
    <v>0.98970000000000002</v>
    <v>10</v>
    <v>3.3900000000000002E-3</v>
    <v>IDR</v>
    <v>PT Telkom Indonesia (Persero) Tbk is an Indonesia-based telecommunication company. The Company is engaged in information and communication technology (ICT) services and telecommunications networks. Its segments include mobile, consumer, enterprise, wholesale and international business, and other. The mobile segment provides cellular services, including mobile voice, value-added services, mobile broadband, among others. The Consumer segment provides Indihome services and other telecommunication services to home customers. The wholesale and international business segment provides interconnection services, leased lines, satellite, small aperture terminal, broadband access, information technology services, data, and internet services to other licensed operator companies and institutions. The Other segment provides digital content products, big data, business-to-business commerce, and financial services to individual and corporate customers.</v>
    <v>19082</v>
    <v>Indonesia Stock Exchange</v>
    <v>XIDX</v>
    <v>XIDX</v>
    <v>Kawasan The Telkom Hub, Gedung Telkom Landmark Tower II, lantai.39, Jl. Jenderal Gatot Subroto Kav. 52, Kuningan Barat,, Mampang Prapatan, JAKARTA SELATAN, DKI JAKARTA, 12710 ID</v>
    <v>2970</v>
    <v>Telecommunications Services</v>
    <v>Stock</v>
    <v>46155.385416666664</v>
    <v>26</v>
    <v>2920</v>
    <v>293224200000000</v>
    <v>PT Telkom Indonesia (Persero) Tbk</v>
    <v>PT Telkom Indonesia (Persero) Tbk</v>
    <v>2950</v>
    <v>2950</v>
    <v>2960</v>
    <v>99062220000</v>
    <v>TLKM</v>
    <v>PT Telkom Indonesia (Persero) Tbk (XIDX:TLKM)</v>
    <v>62623700</v>
    <v>108036990.74070001</v>
    <v>1991</v>
  </rv>
  <rv s="2">
    <v>27</v>
  </rv>
  <rv s="0">
    <v>https://www.bing.com/financeapi/forcetrigger?t=bn9pm7&amp;q=XIDX%3aUNTR&amp;form=skydnc</v>
    <v>Learn more on Bing</v>
  </rv>
  <rv s="1">
    <v>0</v>
    <v>PT United Tractors Tbk (XIDX:UNTR)</v>
    <v>2</v>
    <v>3</v>
    <v>Finance</v>
    <v>4</v>
    <v>en-US</v>
    <v>bn9pm7</v>
    <v>268435456</v>
    <v>1</v>
    <v>Powered by Refinitiv</v>
    <v>32825</v>
    <v>20900</v>
    <v>0.83799999999999997</v>
    <v>-275</v>
    <v>-1.0120000000000001E-2</v>
    <v>IDR</v>
    <v>PT United Tractors Tak is engaged in various business activities, including the sales and rental of heavy equipment (construction machinery) and the related after-sales services; mining and mining contracting; engineering, planning, assembling, and manufacturing components of machinery, tools, parts, and heavy equipment; vessel construction and vessel related repair services; vessel charter and shipping services; construction industry; power plant, and fishery industry. The Company’s segments include construction machinery, mining contracting, mining, and other related segments. The construction machinery segment includes the sale of heavy equipment and the provision of after-sales services. The mining contracting segment delivers mining services to concession holders. The mining segment engages in the extraction and sale of coal, gold, and other minerals. Other segments offer construction, energy, and related services.</v>
    <v>38396</v>
    <v>Indonesia Stock Exchange</v>
    <v>XIDX</v>
    <v>XIDX</v>
    <v>Jl. Raya Bekasi km. 22, Cakung,, JAKARTA TIMUR, DKI JAKARTA, 13910 ID</v>
    <v>27200</v>
    <v>Coal</v>
    <v>Stock</v>
    <v>46155.385416666664</v>
    <v>29</v>
    <v>26600</v>
    <v>100340600000000</v>
    <v>PT United Tractors Tbk</v>
    <v>PT United Tractors Tbk</v>
    <v>27175</v>
    <v>27175</v>
    <v>26900</v>
    <v>3730135000</v>
    <v>UNTR</v>
    <v>PT United Tractors Tbk (XIDX:UNTR)</v>
    <v>2598700</v>
    <v>3807457.4073999999</v>
    <v>1973</v>
  </rv>
  <rv s="2">
    <v>30</v>
  </rv>
  <rv s="0">
    <v>https://www.bing.com/financeapi/forcetrigger?t=bn9pp2&amp;q=XIDX%3aUNVR&amp;form=skydnc</v>
    <v>Learn more on Bing</v>
  </rv>
  <rv s="1">
    <v>0</v>
    <v>PT Unilever Indonesia Tbk (XIDX:UNVR)</v>
    <v>2</v>
    <v>3</v>
    <v>Finance</v>
    <v>4</v>
    <v>en-US</v>
    <v>bn9pp2</v>
    <v>268435456</v>
    <v>1</v>
    <v>Powered by Refinitiv</v>
    <v>2840</v>
    <v>1305</v>
    <v>1.3123</v>
    <v>-15</v>
    <v>-8.3330000000000001E-3</v>
    <v>IDR</v>
    <v>PT Unilever Indonesia Tbk is an Indonesia-based company, which is engaged in the manufacturing, marketing and distribution of consumer goods, including soaps, detergents, dairy-based foods, cosmetic products, tea-based beverages and fruit juice, and office space leasing. Its segments include Home and Personal Care and Foods and Refreshment. The Home and Personal Care segments relate to the cleaning products which are used in household and cosmetic products. The Foods and Refreshment segment relates to food and beverage products. The Company’s segments include Axe, Squirt, Buavita, Cif, Clear Men, Closeup, Cornetto, Dove, Feast, Glow &amp; Lovely, Hellmann's, Jawara, Knorr, Lifebuoy, Love Beauty &amp; Planet, LUX, Molto, Paddle Pop, Pepsodent, PONDS, Pond's Men, Rexona, Rinso, Royco, SquirrelSquirt, Exciting, Simple, Sunlight, Sunsilk, Superpell, TRESeme, Unilever Professional, Vaseline Men, Viennetta, Vixal, Walls, Wipol, and Switzerland.</v>
    <v>2816</v>
    <v>Indonesia Stock Exchange</v>
    <v>XIDX</v>
    <v>XIDX</v>
    <v>GRHA UNILEVER, GREEN OFFICE- PARK KAV. 3, JALAN BSD BOULEVARD BARAT BSD CITY, BANTEN, 15345 ID</v>
    <v>1800</v>
    <v>Personal &amp; Household Products &amp; Services</v>
    <v>Stock</v>
    <v>46155.385416666664</v>
    <v>32</v>
    <v>1770</v>
    <v>68097750000000</v>
    <v>PT Unilever Indonesia Tbk</v>
    <v>PT Unilever Indonesia Tbk</v>
    <v>1800</v>
    <v>1800</v>
    <v>1785</v>
    <v>38150000000</v>
    <v>UNVR</v>
    <v>PT Unilever Indonesia Tbk (XIDX:UNVR)</v>
    <v>6834600</v>
    <v>24084201.8519</v>
    <v>1933</v>
  </rv>
  <rv s="2">
    <v>33</v>
  </rv>
  <rv s="5">
    <v>0</v>
  </rv>
  <rv s="6">
    <v>0</v>
    <v>10</v>
    <v>{D6118BBB-B3A5-664A-9485-0EB2315607AF}</v>
    <v>35</v>
  </rv>
</rvData>
</file>

<file path=xl/richData/rdrichvaluestructure.xml><?xml version="1.0" encoding="utf-8"?>
<rvStructures xmlns="http://schemas.microsoft.com/office/spreadsheetml/2017/richdata" count="7">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array">
    <k n="array" t="a"/>
  </s>
  <s t="_datasourcecontainer">
    <k n="_CRID" t="i"/>
    <k n="_Display" t="spb"/>
    <k n="%XLUID" t="s"/>
    <k n="Company" t="r"/>
  </s>
</rvStructures>
</file>

<file path=xl/richData/rdsupportingpropertybag.xml><?xml version="1.0" encoding="utf-8"?>
<supportingPropertyBags xmlns="http://schemas.microsoft.com/office/spreadsheetml/2017/richdata2">
  <spbArrays count="4">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4">
      <v t="s">Company</v>
      <v t="s">_CRID</v>
      <v t="s">%XLUID</v>
      <v t="s">_Display</v>
    </a>
  </spbArrays>
  <spbData count="11">
    <spb s="0">
      <v>0</v>
      <v>Name</v>
      <v>LearnMoreOnLink</v>
    </spb>
    <spb s="1">
      <v>0</v>
      <v>0</v>
      <v>0</v>
    </spb>
    <spb s="2">
      <v>1</v>
      <v>1</v>
      <v>1</v>
      <v>1</v>
    </spb>
    <spb s="3">
      <v>1</v>
      <v>2</v>
      <v>1</v>
      <v>3</v>
      <v>1</v>
      <v>1</v>
      <v>1</v>
      <v>4</v>
      <v>4</v>
      <v>5</v>
      <v>6</v>
      <v>1</v>
      <v>1</v>
      <v>1</v>
      <v>4</v>
      <v>7</v>
      <v>8</v>
      <v>9</v>
      <v>4</v>
    </spb>
    <spb s="4">
      <v>Delayed 15 minutes</v>
      <v>from previous close</v>
      <v>from previous close</v>
      <v>GMT</v>
    </spb>
    <spb s="5">
      <v>1</v>
      <v>Name</v>
    </spb>
    <spb s="6">
      <v>1</v>
      <v>1</v>
      <v>1</v>
    </spb>
    <spb s="7">
      <v>1</v>
      <v>1</v>
      <v>3</v>
      <v>1</v>
      <v>1</v>
      <v>1</v>
      <v>4</v>
      <v>4</v>
      <v>5</v>
      <v>6</v>
      <v>1</v>
      <v>1</v>
      <v>1</v>
      <v>4</v>
      <v>7</v>
      <v>9</v>
      <v>4</v>
    </spb>
    <spb s="0">
      <v>2</v>
      <v>Name</v>
      <v>LearnMoreOnLink</v>
    </spb>
    <spb s="8">
      <v>1</v>
      <v>2</v>
      <v>1</v>
      <v>3</v>
      <v>1</v>
      <v>1</v>
      <v>1</v>
      <v>4</v>
      <v>4</v>
      <v>5</v>
      <v>6</v>
      <v>1</v>
      <v>1</v>
      <v>1</v>
      <v>4</v>
      <v>7</v>
      <v>9</v>
      <v>4</v>
    </spb>
    <spb s="9">
      <v>3</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
    <k n="Low"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_([$Rp-en-ID]* #,##0.00_);_([$Rp-en-ID]* (#,##0.00);_([$Rp-en-ID]* "-"??_);_(@_)</rpv>
    </rSty>
    <rSty dxfid="5">
      <rpv i="0">#,##0.00</rpv>
    </rSty>
    <rSty>
      <rpv i="1">1</rpv>
    </rSty>
    <rSty dxfid="4">
      <rpv i="0">#,##0</rpv>
    </rSty>
    <rSty dxfid="3"/>
    <rSty dxfid="1">
      <rpv i="0">_([$Rp-en-ID]* #,##0_);_([$Rp-en-ID]* (#,##0);_([$Rp-en-ID]* "-"_);_(@_)</rpv>
    </rSty>
    <rSty dxfid="2"/>
    <rSty dxfid="6">
      <rpv i="0">0</rpv>
    </rSty>
    <rSty dxfid="0">
      <rpv i="0">0.00</rpv>
    </rSty>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Ticker" xr10:uid="{0113C32E-7CFE-6540-A622-E3EFC7F4F67B}" sourceName="Stock Ticker">
  <pivotTables>
    <pivotTable tabId="2" name="PivotTable1"/>
  </pivotTables>
  <data>
    <tabular pivotCacheId="1103686917">
      <items count="12">
        <i x="0"/>
        <i x="1"/>
        <i x="2"/>
        <i x="3"/>
        <i x="4"/>
        <i x="5"/>
        <i x="6"/>
        <i x="7"/>
        <i x="8"/>
        <i x="9" s="1"/>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wth_Percentage" xr10:uid="{BCF0BF38-16C8-1C44-8E9F-D6B761867162}" sourceName="Growth Percentage">
  <pivotTables>
    <pivotTable tabId="2" name="PivotTable1"/>
  </pivotTables>
  <data>
    <tabular pivotCacheId="1103686917">
      <items count="8">
        <i x="0" s="1"/>
        <i x="1"/>
        <i x="2"/>
        <i x="3"/>
        <i x="4"/>
        <i x="5"/>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 Ticker" xr10:uid="{BD21C429-4DEB-B74D-B932-E08E9D6A342E}" cache="Slicer_Stock_Ticker" caption="Stock Ticker" startItem="1" style="SlicerStyleLight4" rowHeight="251883"/>
  <slicer name="Growth Percentage" xr10:uid="{5115E851-695E-E545-AD26-44A105434C88}" cache="Slicer_Growth_Percentage" caption="Growth Percentage" style="SlicerStyleLight4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EFE21-6916-B644-ADA5-BFEE3BAFFB22}" name="Table1" displayName="Table1" ref="A1:M164" totalsRowShown="0">
  <autoFilter ref="A1:M164" xr:uid="{BE6EFE21-6916-B644-ADA5-BFEE3BAFFB22}"/>
  <tableColumns count="13">
    <tableColumn id="1" xr3:uid="{9BD74286-481F-0E49-80D7-DAAABB3E69B0}" name="Date" dataDxfId="23"/>
    <tableColumn id="2" xr3:uid="{C0E2C38F-F768-D242-AB08-CD50CF3DAD21}" name="Transaction ID" dataDxfId="22"/>
    <tableColumn id="3" xr3:uid="{F68931F7-364E-B14A-BC37-9AE670717CAC}" name="Stock Tickers" dataDxfId="21"/>
    <tableColumn id="4" xr3:uid="{49ED07A7-AD65-294D-838B-D3AD43A6CF90}" name="Action"/>
    <tableColumn id="5" xr3:uid="{9A2E7388-02CF-1A42-BBD7-42046EC0AFFB}" name="Lot "/>
    <tableColumn id="6" xr3:uid="{34C1DD4A-E9AE-B545-A329-EF3756D10471}" name="Position Change" dataDxfId="20">
      <calculatedColumnFormula array="1">_xlfn.IFS(Table1[[#This Row],[Action]]="Buy",Table1[[#This Row],[Lot ]],Table1[[#This Row],[Action]]="Sell",-Table1[[#This Row],[Lot ]],Table1[[#This Row],[Action]]="Dividend",0,TRUE,"")</calculatedColumnFormula>
    </tableColumn>
    <tableColumn id="7" xr3:uid="{5A58908C-BA30-7D4A-8620-BCB6C84449C0}" name="Price" dataDxfId="19"/>
    <tableColumn id="13" xr3:uid="{AB0A1840-6E10-EA4F-B2E8-A1E61A10BC5E}" name="Weighted Average Price" dataDxfId="18">
      <calculatedColumnFormula array="1">IF(OR(C2=0, C2=""), "",
  IF(D2="Buy",
    (SUMIFS($J1:J$2, $C1:C$2, C2, $D1:D$2, "Buy") + J2) / (SUMIFS($E1:E$2, $C1:C$2, C2, $D1:D$2, "Buy") + E2),
    LOOKUP(2, 1/($C1:C$2=C2), $G1:G$2)
  )
)</calculatedColumnFormula>
    </tableColumn>
    <tableColumn id="8" xr3:uid="{C7EBB16E-9BC7-F547-98DC-152AAE9F8895}" name="Dividend per Share" dataDxfId="17"/>
    <tableColumn id="9" xr3:uid="{7AA26F0F-52C3-594A-90FE-AE5462B6AB31}" name="Amount" dataDxfId="16">
      <calculatedColumnFormula>(E2*100)*IF(D2="Dividend",I2,G2)</calculatedColumnFormula>
    </tableColumn>
    <tableColumn id="10" xr3:uid="{6B857712-B9C2-384C-A237-90FF0EACCCDE}" name="Total Fee" dataDxfId="15">
      <calculatedColumnFormula>(exchange_fee+broker_fee)*J2</calculatedColumnFormula>
    </tableColumn>
    <tableColumn id="11" xr3:uid="{1C5E4F3E-153F-E141-A7A0-8DB41221668B}" name="Net Amount" dataDxfId="14">
      <calculatedColumnFormula>SUM(Table1[[#This Row],[Amount]]:Table1[[#This Row],[Total Fee]])</calculatedColumnFormula>
    </tableColumn>
    <tableColumn id="12" xr3:uid="{1767B6AA-28FA-F942-BE6F-0687AAFBD00A}" name="Cashflow" dataDxfId="13">
      <calculatedColumnFormula>IF(OR(Table1[[#This Row],[Action]]="Buy",Table1[[#This Row],[Action]]="Withdraw"),-Table1[[#This Row],[Net Amount]],Table1[[#This Row],[Net Amount]])</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A441A5-8E78-474A-BCA3-198D442403B1}" name="Table2" displayName="Table2" ref="A1:L97" totalsRowShown="0">
  <autoFilter ref="A1:L97" xr:uid="{30A441A5-8E78-474A-BCA3-198D442403B1}"/>
  <tableColumns count="12">
    <tableColumn id="1" xr3:uid="{5A49A7D5-5313-1F45-95DB-DC48B471BEEB}" name="Stock Ticker">
      <calculatedColumnFormula>'Database '!$A$22</calculatedColumnFormula>
    </tableColumn>
    <tableColumn id="2" xr3:uid="{EF2A283A-E1BC-BF47-9D32-37ABDEC7567C}" name="Growth Percentage" dataDxfId="12"/>
    <tableColumn id="3" xr3:uid="{CD6BFD60-3F55-AD47-A41D-19B00908BB57}" name="2027" dataDxfId="11">
      <calculatedColumnFormula>SUMIF('Database '!$A$11:$A$22,A2,'Database '!$G$11:$G$22)*(1+Table2[[#This Row],[Growth Percentage]])^(Table2[[#Headers],[2027]]-YEAR(TODAY()))</calculatedColumnFormula>
    </tableColumn>
    <tableColumn id="4" xr3:uid="{3344210D-F269-E145-93F4-E94600AC836B}" name="2028" dataDxfId="10">
      <calculatedColumnFormula>SUMIF('Database '!$A$11:$A$22,A2,'Database '!$G$11:$G$22)*(1+Table2[[#This Row],[Growth Percentage]])^(Table2[[#Headers],[2028]]-YEAR(TODAY()))</calculatedColumnFormula>
    </tableColumn>
    <tableColumn id="5" xr3:uid="{595514A6-450D-9542-9D2C-E7A0E42B79D2}" name="2029" dataDxfId="9">
      <calculatedColumnFormula>SUMIF('Database '!$A$11:$A$22,A2,'Database '!$G$11:$G$22)*(1+Table2[[#This Row],[Growth Percentage]])^(Table2[[#Headers],[2029]]-YEAR(TODAY()))</calculatedColumnFormula>
    </tableColumn>
    <tableColumn id="6" xr3:uid="{5AA84DCA-B575-6D48-B337-D70617B26865}" name="2030" dataDxfId="8">
      <calculatedColumnFormula>SUMIF('Database '!$A$11:$A$22,A2,'Database '!$G$11:$G$22)*(1+Table2[[#This Row],[Growth Percentage]])^(Table2[[#Headers],[2030]]-YEAR(TODAY()))</calculatedColumnFormula>
    </tableColumn>
    <tableColumn id="7" xr3:uid="{BA8361B5-27DF-CE41-97B0-9CBB8C00E65A}" name="2031" dataDxfId="7">
      <calculatedColumnFormula>SUMIF('Database '!$A$11:$A$22,A2,'Database '!$G$11:$G$22)*(1+Table2[[#This Row],[Growth Percentage]])^(Table2[[#Headers],[2031]]-YEAR(TODAY()))</calculatedColumnFormula>
    </tableColumn>
    <tableColumn id="8" xr3:uid="{5EB02F6F-C7A7-5041-9ECD-28C4E081B556}" name="2032" dataDxfId="6">
      <calculatedColumnFormula>SUMIF('Database '!$A$11:$A$22,A2,'Database '!$G$11:$G$22)*(1+Table2[[#This Row],[Growth Percentage]])^(Table2[[#Headers],[2032]]-YEAR(TODAY()))</calculatedColumnFormula>
    </tableColumn>
    <tableColumn id="9" xr3:uid="{A0E66120-6B19-1541-8E16-44284C14C8C8}" name="2033" dataDxfId="5">
      <calculatedColumnFormula>SUMIF('Database '!$A$11:$A$22,A2,'Database '!$G$11:$G$22)*(1+Table2[[#This Row],[Growth Percentage]])^(Table2[[#Headers],[2033]]-YEAR(TODAY()))</calculatedColumnFormula>
    </tableColumn>
    <tableColumn id="10" xr3:uid="{9FD83891-F94A-7C40-B08E-0A2DCF436793}" name="2034" dataDxfId="4">
      <calculatedColumnFormula>SUMIF('Database '!$A$11:$A$22,A2,'Database '!$G$11:$G$22)*(1+Table2[[#This Row],[Growth Percentage]])^(Table2[[#Headers],[2034]]-YEAR(TODAY()))</calculatedColumnFormula>
    </tableColumn>
    <tableColumn id="11" xr3:uid="{DB5ADC96-CF40-E14B-9C0E-A59B3CA0918B}" name="2035" dataDxfId="3">
      <calculatedColumnFormula>SUMIF('Database '!$A$11:$A$22,A2,'Database '!$G$11:$G$22)*(1+Table2[[#This Row],[Growth Percentage]])^(Table2[[#Headers],[2035]]-YEAR(TODAY()))</calculatedColumnFormula>
    </tableColumn>
    <tableColumn id="12" xr3:uid="{7C3F6023-DB6E-4540-91F7-9C9C70F22EE8}" name="2036" dataDxfId="2">
      <calculatedColumnFormula>SUMIF('Database '!$A$11:$A$22,A2,'Database '!$G$11:$G$22)*(1+Table2[[#This Row],[Growth Percentage]])^(Table2[[#Headers],[2036]]-YEAR(TODAY()))</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spPr>
      <a:bodyPr vertOverflow="clip" horzOverflow="clip" wrap="square" rtlCol="0" anchor="t">
        <a:spAutoFit/>
      </a:bodyPr>
      <a:lstStyle>
        <a:defPPr algn="r">
          <a:defRPr sz="1400" b="0" i="0" u="none" strike="noStrike">
            <a:solidFill>
              <a:schemeClr val="bg2">
                <a:lumMod val="50000"/>
              </a:schemeClr>
            </a:solidFill>
            <a:effectLst>
              <a:outerShdw blurRad="63500" sx="102000" sy="102000" algn="ctr" rotWithShape="0">
                <a:schemeClr val="bg2">
                  <a:lumMod val="75000"/>
                  <a:alpha val="68846"/>
                </a:schemeClr>
              </a:outerShdw>
            </a:effectLst>
            <a:latin typeface="Century Gothic" panose="020B0502020202020204" pitchFamily="34" charset="0"/>
            <a:ea typeface="Microsoft YaHei" panose="020B0503020204020204" pitchFamily="34" charset="-122"/>
          </a:defRPr>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68202-E4DB-B448-A850-FD5247DA2716}">
  <dimension ref="A1"/>
  <sheetViews>
    <sheetView zoomScale="75" zoomScaleNormal="93" workbookViewId="0">
      <selection activeCell="D24" sqref="D24"/>
    </sheetView>
  </sheetViews>
  <sheetFormatPr baseColWidth="10" defaultRowHeight="16"/>
  <cols>
    <col min="1" max="16384" width="10.83203125" style="17"/>
  </cols>
  <sheetData>
    <row r="1" spans="1:1" ht="28" customHeight="1">
      <c r="A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20FB-171D-094E-9CB6-718BC9A6E864}">
  <dimension ref="A1:P189"/>
  <sheetViews>
    <sheetView zoomScale="106" workbookViewId="0">
      <selection activeCell="I55" sqref="I55"/>
    </sheetView>
  </sheetViews>
  <sheetFormatPr baseColWidth="10" defaultRowHeight="16"/>
  <cols>
    <col min="2" max="2" width="15.1640625" customWidth="1"/>
    <col min="3" max="3" width="14" customWidth="1"/>
    <col min="6" max="6" width="16.5" customWidth="1"/>
    <col min="8" max="8" width="13.5" customWidth="1"/>
    <col min="9" max="9" width="18.6640625" customWidth="1"/>
    <col min="10" max="10" width="16" customWidth="1"/>
    <col min="12" max="12" width="15.6640625" customWidth="1"/>
    <col min="13" max="13" width="15.5" customWidth="1"/>
  </cols>
  <sheetData>
    <row r="1" spans="1:16">
      <c r="A1" s="1" t="s">
        <v>0</v>
      </c>
      <c r="B1" s="1" t="s">
        <v>1</v>
      </c>
      <c r="C1" t="s">
        <v>2</v>
      </c>
      <c r="D1" t="s">
        <v>3</v>
      </c>
      <c r="E1" t="s">
        <v>4</v>
      </c>
      <c r="F1" t="s">
        <v>22</v>
      </c>
      <c r="G1" t="s">
        <v>23</v>
      </c>
      <c r="H1" t="s">
        <v>56</v>
      </c>
      <c r="I1" t="s">
        <v>24</v>
      </c>
      <c r="J1" t="s">
        <v>25</v>
      </c>
      <c r="K1" t="s">
        <v>26</v>
      </c>
      <c r="L1" t="s">
        <v>29</v>
      </c>
      <c r="M1" t="s">
        <v>30</v>
      </c>
      <c r="O1" s="6" t="s">
        <v>27</v>
      </c>
      <c r="P1" s="7">
        <v>4.3300000000000001E-4</v>
      </c>
    </row>
    <row r="2" spans="1:16">
      <c r="A2" s="2">
        <v>45294</v>
      </c>
      <c r="B2" t="str">
        <f>"TX"&amp;TEXT(ROW()-1,"0000")</f>
        <v>TX0001</v>
      </c>
      <c r="C2" s="3"/>
      <c r="D2" t="s">
        <v>5</v>
      </c>
      <c r="F2" t="str" cm="1">
        <f t="array" ref="F2">_xlfn.IFS(Table1[[#This Row],[Action]]="Buy",Table1[[#This Row],[Lot ]],Table1[[#This Row],[Action]]="Sell",-Table1[[#This Row],[Lot ]],Table1[[#This Row],[Action]]="Dividend",0,TRUE,"")</f>
        <v/>
      </c>
      <c r="G2" s="4"/>
      <c r="H2" s="4" t="str" cm="1">
        <f t="array" ref="H2">IF(OR(Table1[[#This Row],[Stock Tickers]]="",Table1[[#This Row],[Action]]="Dividend"), "",IF(Table1[[#This Row],[Action]]="Buy",(SUMIFS($L2:L$2, $C2:C$2,Table1[[#This Row],[Stock Tickers]], $D2:D$2, "Buy") + Table1[[#This Row],[Amount]]) / ((SUMIFS($E2:E$2, $C2:C$2,Table1[[#This Row],[Stock Tickers]], $D2:D$2, "Buy") + Table1[[#This Row],[Lot ]])*100),LOOKUP(2, 1/($C2:C$2=Table1[[#This Row],[Stock Tickers]]), $G2:G$2)))</f>
        <v/>
      </c>
      <c r="I2" s="4"/>
      <c r="J2" s="5">
        <v>100000000</v>
      </c>
      <c r="L2" s="5">
        <f>SUM(Table1[[#This Row],[Amount]]:Table1[[#This Row],[Total Fee]])</f>
        <v>100000000</v>
      </c>
      <c r="M2" s="8">
        <f>IF(OR(Table1[[#This Row],[Action]]="Buy",Table1[[#This Row],[Action]]="Withdraw"),-Table1[[#This Row],[Net Amount]],Table1[[#This Row],[Net Amount]])</f>
        <v>100000000</v>
      </c>
      <c r="O2" s="6" t="s">
        <v>28</v>
      </c>
      <c r="P2" s="7">
        <v>1.5E-3</v>
      </c>
    </row>
    <row r="3" spans="1:16">
      <c r="A3" s="2">
        <v>45296</v>
      </c>
      <c r="B3" t="str">
        <f t="shared" ref="B3:B65" si="0">"TX"&amp;TEXT(ROW()-1,"0000")</f>
        <v>TX0002</v>
      </c>
      <c r="C3" s="3" t="s">
        <v>6</v>
      </c>
      <c r="D3" t="s">
        <v>7</v>
      </c>
      <c r="E3">
        <v>25</v>
      </c>
      <c r="F3" cm="1">
        <f t="array" ref="F3">_xlfn.IFS(Table1[[#This Row],[Action]]="Buy",Table1[[#This Row],[Lot ]],Table1[[#This Row],[Action]]="Sell",-Table1[[#This Row],[Lot ]],Table1[[#This Row],[Action]]="Dividend",0,TRUE,"")</f>
        <v>25</v>
      </c>
      <c r="G3" s="4">
        <v>3800</v>
      </c>
      <c r="H3" s="4" cm="1">
        <f t="array" ref="H3">IF(OR(Table1[[#This Row],[Stock Tickers]]="",Table1[[#This Row],[Action]]="Dividend"), "",IF(Table1[[#This Row],[Action]]="Buy",(SUMIFS($L$2:L3, $C$2:C3,Table1[[#This Row],[Stock Tickers]], $D$2:D3, "Buy") + Table1[[#This Row],[Amount]]) / ((SUMIFS($E$2:E3, $C$2:C3,Table1[[#This Row],[Stock Tickers]], $D$2:D3, "Buy") + Table1[[#This Row],[Lot ]])*100),LOOKUP(2, 1/($C$2:C3=Table1[[#This Row],[Stock Tickers]]), $G$2:G3)))</f>
        <v>3803.6727000000001</v>
      </c>
      <c r="I3" s="4"/>
      <c r="J3" s="5">
        <f>(Table1[[#This Row],[Lot ]]*100)*IF(Table1[[#This Row],[Action]]="Dividend",Table1[[#This Row],[Dividend per Share]],Table1[[#This Row],[Price]])</f>
        <v>9500000</v>
      </c>
      <c r="K3" s="5">
        <f>(exchange_fee+broker_fee)*J3</f>
        <v>18363.5</v>
      </c>
      <c r="L3" s="5">
        <f>SUM(Table1[[#This Row],[Amount]]:Table1[[#This Row],[Total Fee]])</f>
        <v>9518363.5</v>
      </c>
      <c r="M3" s="8">
        <f>IF(OR(Table1[[#This Row],[Action]]="Buy",Table1[[#This Row],[Action]]="Withdraw"),-Table1[[#This Row],[Net Amount]],Table1[[#This Row],[Net Amount]])</f>
        <v>-9518363.5</v>
      </c>
      <c r="O3" s="9"/>
    </row>
    <row r="4" spans="1:16">
      <c r="A4" s="2">
        <v>45301</v>
      </c>
      <c r="B4" t="str">
        <f t="shared" si="0"/>
        <v>TX0003</v>
      </c>
      <c r="C4" s="3" t="s">
        <v>8</v>
      </c>
      <c r="D4" t="s">
        <v>7</v>
      </c>
      <c r="E4">
        <v>42</v>
      </c>
      <c r="F4" cm="1">
        <f t="array" ref="F4">_xlfn.IFS(Table1[[#This Row],[Action]]="Buy",Table1[[#This Row],[Lot ]],Table1[[#This Row],[Action]]="Sell",-Table1[[#This Row],[Lot ]],Table1[[#This Row],[Action]]="Dividend",0,TRUE,"")</f>
        <v>42</v>
      </c>
      <c r="G4" s="4">
        <v>3050</v>
      </c>
      <c r="H4" s="4" cm="1">
        <f t="array" ref="H4">IF(OR(Table1[[#This Row],[Stock Tickers]]="",Table1[[#This Row],[Action]]="Dividend"), "",IF(Table1[[#This Row],[Action]]="Buy",(SUMIFS($L$2:L4, $C$2:C4,Table1[[#This Row],[Stock Tickers]], $D$2:D4, "Buy") + Table1[[#This Row],[Amount]]) / ((SUMIFS($E$2:E4, $C$2:C4,Table1[[#This Row],[Stock Tickers]], $D$2:D4, "Buy") + Table1[[#This Row],[Lot ]])*100),LOOKUP(2, 1/($C$2:C4=Table1[[#This Row],[Stock Tickers]]), $G$2:G4)))</f>
        <v>3052.9478250000002</v>
      </c>
      <c r="I4" s="4"/>
      <c r="J4" s="5">
        <f>(Table1[[#This Row],[Lot ]]*100)*IF(Table1[[#This Row],[Action]]="Dividend",Table1[[#This Row],[Dividend per Share]],Table1[[#This Row],[Price]])</f>
        <v>12810000</v>
      </c>
      <c r="K4" s="5">
        <f>(exchange_fee+broker_fee)*J4</f>
        <v>24761.73</v>
      </c>
      <c r="L4" s="5">
        <f>SUM(Table1[[#This Row],[Amount]]:Table1[[#This Row],[Total Fee]])</f>
        <v>12834761.73</v>
      </c>
      <c r="M4" s="8">
        <f>IF(OR(Table1[[#This Row],[Action]]="Buy",Table1[[#This Row],[Action]]="Withdraw"),-Table1[[#This Row],[Net Amount]],Table1[[#This Row],[Net Amount]])</f>
        <v>-12834761.73</v>
      </c>
    </row>
    <row r="5" spans="1:16">
      <c r="A5" s="2">
        <v>45309</v>
      </c>
      <c r="B5" t="str">
        <f t="shared" si="0"/>
        <v>TX0004</v>
      </c>
      <c r="C5" s="3" t="s">
        <v>9</v>
      </c>
      <c r="D5" t="s">
        <v>7</v>
      </c>
      <c r="E5">
        <v>21</v>
      </c>
      <c r="F5" cm="1">
        <f t="array" ref="F5">_xlfn.IFS(Table1[[#This Row],[Action]]="Buy",Table1[[#This Row],[Lot ]],Table1[[#This Row],[Action]]="Sell",-Table1[[#This Row],[Lot ]],Table1[[#This Row],[Action]]="Dividend",0,TRUE,"")</f>
        <v>21</v>
      </c>
      <c r="G5" s="4">
        <v>2530</v>
      </c>
      <c r="H5" s="4" cm="1">
        <f t="array" ref="H5">IF(OR(Table1[[#This Row],[Stock Tickers]]="",Table1[[#This Row],[Action]]="Dividend"), "",IF(Table1[[#This Row],[Action]]="Buy",(SUMIFS($L$2:L5, $C$2:C5,Table1[[#This Row],[Stock Tickers]], $D$2:D5, "Buy") + Table1[[#This Row],[Amount]]) / ((SUMIFS($E$2:E5, $C$2:C5,Table1[[#This Row],[Stock Tickers]], $D$2:D5, "Buy") + Table1[[#This Row],[Lot ]])*100),LOOKUP(2, 1/($C$2:C5=Table1[[#This Row],[Stock Tickers]]), $G$2:G5)))</f>
        <v>2532.4452449999999</v>
      </c>
      <c r="I5" s="4"/>
      <c r="J5" s="5">
        <f>(Table1[[#This Row],[Lot ]]*100)*IF(Table1[[#This Row],[Action]]="Dividend",Table1[[#This Row],[Dividend per Share]],Table1[[#This Row],[Price]])</f>
        <v>5313000</v>
      </c>
      <c r="K5" s="5">
        <f>(exchange_fee+broker_fee)*J5</f>
        <v>10270.029</v>
      </c>
      <c r="L5" s="5">
        <f>SUM(Table1[[#This Row],[Amount]]:Table1[[#This Row],[Total Fee]])</f>
        <v>5323270.0290000001</v>
      </c>
      <c r="M5" s="8">
        <f>IF(OR(Table1[[#This Row],[Action]]="Buy",Table1[[#This Row],[Action]]="Withdraw"),-Table1[[#This Row],[Net Amount]],Table1[[#This Row],[Net Amount]])</f>
        <v>-5323270.0290000001</v>
      </c>
    </row>
    <row r="6" spans="1:16">
      <c r="A6" s="2">
        <v>45324</v>
      </c>
      <c r="B6" t="str">
        <f t="shared" si="0"/>
        <v>TX0005</v>
      </c>
      <c r="C6" s="3" t="s">
        <v>10</v>
      </c>
      <c r="D6" t="s">
        <v>7</v>
      </c>
      <c r="E6">
        <v>7</v>
      </c>
      <c r="F6" cm="1">
        <f t="array" ref="F6">_xlfn.IFS(Table1[[#This Row],[Action]]="Buy",Table1[[#This Row],[Lot ]],Table1[[#This Row],[Action]]="Sell",-Table1[[#This Row],[Lot ]],Table1[[#This Row],[Action]]="Dividend",0,TRUE,"")</f>
        <v>7</v>
      </c>
      <c r="G6" s="4">
        <v>7560</v>
      </c>
      <c r="H6" s="4" cm="1">
        <f t="array" ref="H6">IF(OR(Table1[[#This Row],[Stock Tickers]]="",Table1[[#This Row],[Action]]="Dividend"), "",IF(Table1[[#This Row],[Action]]="Buy",(SUMIFS($L$2:L6, $C$2:C6,Table1[[#This Row],[Stock Tickers]], $D$2:D6, "Buy") + Table1[[#This Row],[Amount]]) / ((SUMIFS($E$2:E6, $C$2:C6,Table1[[#This Row],[Stock Tickers]], $D$2:D6, "Buy") + Table1[[#This Row],[Lot ]])*100),LOOKUP(2, 1/($C$2:C6=Table1[[#This Row],[Stock Tickers]]), $G$2:G6)))</f>
        <v>7567.3067400000009</v>
      </c>
      <c r="I6" s="4"/>
      <c r="J6" s="5">
        <f>(Table1[[#This Row],[Lot ]]*100)*IF(Table1[[#This Row],[Action]]="Dividend",Table1[[#This Row],[Dividend per Share]],Table1[[#This Row],[Price]])</f>
        <v>5292000</v>
      </c>
      <c r="K6" s="5">
        <f>(exchange_fee+broker_fee)*J6</f>
        <v>10229.436</v>
      </c>
      <c r="L6" s="5">
        <f>SUM(Table1[[#This Row],[Amount]]:Table1[[#This Row],[Total Fee]])</f>
        <v>5302229.4359999998</v>
      </c>
      <c r="M6" s="8">
        <f>IF(OR(Table1[[#This Row],[Action]]="Buy",Table1[[#This Row],[Action]]="Withdraw"),-Table1[[#This Row],[Net Amount]],Table1[[#This Row],[Net Amount]])</f>
        <v>-5302229.4359999998</v>
      </c>
    </row>
    <row r="7" spans="1:16">
      <c r="A7" s="2">
        <v>45329</v>
      </c>
      <c r="B7" t="str">
        <f t="shared" si="0"/>
        <v>TX0006</v>
      </c>
      <c r="C7" s="3" t="s">
        <v>11</v>
      </c>
      <c r="D7" t="s">
        <v>7</v>
      </c>
      <c r="E7">
        <v>32</v>
      </c>
      <c r="F7" cm="1">
        <f t="array" ref="F7">_xlfn.IFS(Table1[[#This Row],[Action]]="Buy",Table1[[#This Row],[Lot ]],Table1[[#This Row],[Action]]="Sell",-Table1[[#This Row],[Lot ]],Table1[[#This Row],[Action]]="Dividend",0,TRUE,"")</f>
        <v>32</v>
      </c>
      <c r="G7" s="4">
        <v>5100</v>
      </c>
      <c r="H7" s="4" cm="1">
        <f t="array" ref="H7">IF(OR(Table1[[#This Row],[Stock Tickers]]="",Table1[[#This Row],[Action]]="Dividend"), "",IF(Table1[[#This Row],[Action]]="Buy",(SUMIFS($L$2:L7, $C$2:C7,Table1[[#This Row],[Stock Tickers]], $D$2:D7, "Buy") + Table1[[#This Row],[Amount]]) / ((SUMIFS($E$2:E7, $C$2:C7,Table1[[#This Row],[Stock Tickers]], $D$2:D7, "Buy") + Table1[[#This Row],[Lot ]])*100),LOOKUP(2, 1/($C$2:C7=Table1[[#This Row],[Stock Tickers]]), $G$2:G7)))</f>
        <v>5104.9291499999999</v>
      </c>
      <c r="I7" s="4"/>
      <c r="J7" s="5">
        <f>(Table1[[#This Row],[Lot ]]*100)*IF(Table1[[#This Row],[Action]]="Dividend",Table1[[#This Row],[Dividend per Share]],Table1[[#This Row],[Price]])</f>
        <v>16320000</v>
      </c>
      <c r="K7" s="5">
        <f>(exchange_fee+broker_fee)*J7</f>
        <v>31546.560000000001</v>
      </c>
      <c r="L7" s="5">
        <f>SUM(Table1[[#This Row],[Amount]]:Table1[[#This Row],[Total Fee]])</f>
        <v>16351546.560000001</v>
      </c>
      <c r="M7" s="8">
        <f>IF(OR(Table1[[#This Row],[Action]]="Buy",Table1[[#This Row],[Action]]="Withdraw"),-Table1[[#This Row],[Net Amount]],Table1[[#This Row],[Net Amount]])</f>
        <v>-16351546.560000001</v>
      </c>
    </row>
    <row r="8" spans="1:16">
      <c r="A8" s="2">
        <v>45336</v>
      </c>
      <c r="B8" t="str">
        <f t="shared" si="0"/>
        <v>TX0007</v>
      </c>
      <c r="C8" s="3" t="s">
        <v>8</v>
      </c>
      <c r="D8" t="s">
        <v>12</v>
      </c>
      <c r="E8">
        <v>42</v>
      </c>
      <c r="F8" cm="1">
        <f t="array" ref="F8">_xlfn.IFS(Table1[[#This Row],[Action]]="Buy",Table1[[#This Row],[Lot ]],Table1[[#This Row],[Action]]="Sell",-Table1[[#This Row],[Lot ]],Table1[[#This Row],[Action]]="Dividend",0,TRUE,"")</f>
        <v>0</v>
      </c>
      <c r="G8" s="4"/>
      <c r="H8" s="4" t="str" cm="1">
        <f t="array" ref="H8">IF(OR(Table1[[#This Row],[Stock Tickers]]="",Table1[[#This Row],[Action]]="Dividend"), "",IF(Table1[[#This Row],[Action]]="Buy",(SUMIFS($L$2:L8, $C$2:C8,Table1[[#This Row],[Stock Tickers]], $D$2:D8, "Buy") + Table1[[#This Row],[Amount]]) / ((SUMIFS($E$2:E8, $C$2:C8,Table1[[#This Row],[Stock Tickers]], $D$2:D8, "Buy") + Table1[[#This Row],[Lot ]])*100),LOOKUP(2, 1/($C$2:C8=Table1[[#This Row],[Stock Tickers]]), $G$2:G8)))</f>
        <v/>
      </c>
      <c r="I8" s="4">
        <v>178</v>
      </c>
      <c r="J8" s="5">
        <f>(Table1[[#This Row],[Lot ]]*100)*IF(Table1[[#This Row],[Action]]="Dividend",Table1[[#This Row],[Dividend per Share]],Table1[[#This Row],[Price]])</f>
        <v>747600</v>
      </c>
      <c r="K8" s="5"/>
      <c r="L8" s="5">
        <f>SUM(Table1[[#This Row],[Amount]]:Table1[[#This Row],[Total Fee]])</f>
        <v>747600</v>
      </c>
      <c r="M8" s="8">
        <f>IF(OR(Table1[[#This Row],[Action]]="Buy",Table1[[#This Row],[Action]]="Withdraw"),-Table1[[#This Row],[Net Amount]],Table1[[#This Row],[Net Amount]])</f>
        <v>747600</v>
      </c>
    </row>
    <row r="9" spans="1:16">
      <c r="A9" s="2">
        <v>45342</v>
      </c>
      <c r="B9" t="str">
        <f t="shared" si="0"/>
        <v>TX0008</v>
      </c>
      <c r="C9" s="3" t="s">
        <v>9</v>
      </c>
      <c r="D9" t="s">
        <v>7</v>
      </c>
      <c r="E9">
        <v>38</v>
      </c>
      <c r="F9" cm="1">
        <f t="array" ref="F9">_xlfn.IFS(Table1[[#This Row],[Action]]="Buy",Table1[[#This Row],[Lot ]],Table1[[#This Row],[Action]]="Sell",-Table1[[#This Row],[Lot ]],Table1[[#This Row],[Action]]="Dividend",0,TRUE,"")</f>
        <v>38</v>
      </c>
      <c r="G9" s="4">
        <v>2910</v>
      </c>
      <c r="H9" s="4" cm="1">
        <f t="array" ref="H9">IF(OR(Table1[[#This Row],[Stock Tickers]]="",Table1[[#This Row],[Action]]="Dividend"), "",IF(Table1[[#This Row],[Action]]="Buy",(SUMIFS($L$2:L9, $C$2:C9,Table1[[#This Row],[Stock Tickers]], $D$2:D9, "Buy") + Table1[[#This Row],[Amount]]) / ((SUMIFS($E$2:E9, $C$2:C9,Table1[[#This Row],[Stock Tickers]], $D$2:D9, "Buy") + Table1[[#This Row],[Lot ]])*100),LOOKUP(2, 1/($C$2:C9=Table1[[#This Row],[Stock Tickers]]), $G$2:G9)))</f>
        <v>2830.9943446391753</v>
      </c>
      <c r="I9" s="4"/>
      <c r="J9" s="5">
        <f>(Table1[[#This Row],[Lot ]]*100)*IF(Table1[[#This Row],[Action]]="Dividend",Table1[[#This Row],[Dividend per Share]],Table1[[#This Row],[Price]])</f>
        <v>11058000</v>
      </c>
      <c r="K9" s="5">
        <f>(exchange_fee+broker_fee)*J9</f>
        <v>21375.114000000001</v>
      </c>
      <c r="L9" s="5">
        <f>SUM(Table1[[#This Row],[Amount]]:Table1[[#This Row],[Total Fee]])</f>
        <v>11079375.114</v>
      </c>
      <c r="M9" s="8">
        <f>IF(OR(Table1[[#This Row],[Action]]="Buy",Table1[[#This Row],[Action]]="Withdraw"),-Table1[[#This Row],[Net Amount]],Table1[[#This Row],[Net Amount]])</f>
        <v>-11079375.114</v>
      </c>
    </row>
    <row r="10" spans="1:16">
      <c r="A10" s="2">
        <v>45350</v>
      </c>
      <c r="B10" t="str">
        <f t="shared" si="0"/>
        <v>TX0009</v>
      </c>
      <c r="C10" s="3"/>
      <c r="D10" t="s">
        <v>5</v>
      </c>
      <c r="F10" t="str" cm="1">
        <f t="array" ref="F10">_xlfn.IFS(Table1[[#This Row],[Action]]="Buy",Table1[[#This Row],[Lot ]],Table1[[#This Row],[Action]]="Sell",-Table1[[#This Row],[Lot ]],Table1[[#This Row],[Action]]="Dividend",0,TRUE,"")</f>
        <v/>
      </c>
      <c r="G10" s="4"/>
      <c r="H10" s="4" t="str" cm="1">
        <f t="array" ref="H10">IF(OR(Table1[[#This Row],[Stock Tickers]]="",Table1[[#This Row],[Action]]="Dividend"), "",IF(Table1[[#This Row],[Action]]="Buy",(SUMIFS($L$2:L10, $C$2:C10,Table1[[#This Row],[Stock Tickers]], $D$2:D10, "Buy") + Table1[[#This Row],[Amount]]) / ((SUMIFS($E$2:E10, $C$2:C10,Table1[[#This Row],[Stock Tickers]], $D$2:D10, "Buy") + Table1[[#This Row],[Lot ]])*100),LOOKUP(2, 1/($C$2:C10=Table1[[#This Row],[Stock Tickers]]), $G$2:G10)))</f>
        <v/>
      </c>
      <c r="I10" s="4"/>
      <c r="J10" s="5">
        <v>65000000</v>
      </c>
      <c r="K10" s="5"/>
      <c r="L10" s="5">
        <f>SUM(Table1[[#This Row],[Amount]]:Table1[[#This Row],[Total Fee]])</f>
        <v>65000000</v>
      </c>
      <c r="M10" s="8">
        <f>IF(OR(Table1[[#This Row],[Action]]="Buy",Table1[[#This Row],[Action]]="Withdraw"),-Table1[[#This Row],[Net Amount]],Table1[[#This Row],[Net Amount]])</f>
        <v>65000000</v>
      </c>
    </row>
    <row r="11" spans="1:16">
      <c r="A11" s="2">
        <v>45354</v>
      </c>
      <c r="B11" t="str">
        <f t="shared" si="0"/>
        <v>TX0010</v>
      </c>
      <c r="C11" s="3" t="s">
        <v>13</v>
      </c>
      <c r="D11" t="s">
        <v>7</v>
      </c>
      <c r="E11">
        <v>10</v>
      </c>
      <c r="F11" cm="1">
        <f t="array" ref="F11">_xlfn.IFS(Table1[[#This Row],[Action]]="Buy",Table1[[#This Row],[Lot ]],Table1[[#This Row],[Action]]="Sell",-Table1[[#This Row],[Lot ]],Table1[[#This Row],[Action]]="Dividend",0,TRUE,"")</f>
        <v>10</v>
      </c>
      <c r="G11" s="4">
        <v>30000</v>
      </c>
      <c r="H11" s="4" cm="1">
        <f t="array" ref="H11">IF(OR(Table1[[#This Row],[Stock Tickers]]="",Table1[[#This Row],[Action]]="Dividend"), "",IF(Table1[[#This Row],[Action]]="Buy",(SUMIFS($L$2:L11, $C$2:C11,Table1[[#This Row],[Stock Tickers]], $D$2:D11, "Buy") + Table1[[#This Row],[Amount]]) / ((SUMIFS($E$2:E11, $C$2:C11,Table1[[#This Row],[Stock Tickers]], $D$2:D11, "Buy") + Table1[[#This Row],[Lot ]])*100),LOOKUP(2, 1/($C$2:C11=Table1[[#This Row],[Stock Tickers]]), $G$2:G11)))</f>
        <v>30028.994999999999</v>
      </c>
      <c r="I11" s="4"/>
      <c r="J11" s="5">
        <f>(Table1[[#This Row],[Lot ]]*100)*IF(Table1[[#This Row],[Action]]="Dividend",Table1[[#This Row],[Dividend per Share]],Table1[[#This Row],[Price]])</f>
        <v>30000000</v>
      </c>
      <c r="K11" s="5">
        <f>(exchange_fee+broker_fee)*J11</f>
        <v>57990</v>
      </c>
      <c r="L11" s="5">
        <f>SUM(Table1[[#This Row],[Amount]]:Table1[[#This Row],[Total Fee]])</f>
        <v>30057990</v>
      </c>
      <c r="M11" s="8">
        <f>IF(OR(Table1[[#This Row],[Action]]="Buy",Table1[[#This Row],[Action]]="Withdraw"),-Table1[[#This Row],[Net Amount]],Table1[[#This Row],[Net Amount]])</f>
        <v>-30057990</v>
      </c>
    </row>
    <row r="12" spans="1:16">
      <c r="A12" s="2">
        <v>45356</v>
      </c>
      <c r="B12" t="str">
        <f t="shared" si="0"/>
        <v>TX0011</v>
      </c>
      <c r="C12" s="3" t="s">
        <v>6</v>
      </c>
      <c r="D12" t="s">
        <v>7</v>
      </c>
      <c r="E12">
        <v>10</v>
      </c>
      <c r="F12" cm="1">
        <f t="array" ref="F12">_xlfn.IFS(Table1[[#This Row],[Action]]="Buy",Table1[[#This Row],[Lot ]],Table1[[#This Row],[Action]]="Sell",-Table1[[#This Row],[Lot ]],Table1[[#This Row],[Action]]="Dividend",0,TRUE,"")</f>
        <v>10</v>
      </c>
      <c r="G12" s="4">
        <v>2990</v>
      </c>
      <c r="H12" s="4" cm="1">
        <f t="array" ref="H12">IF(OR(Table1[[#This Row],[Stock Tickers]]="",Table1[[#This Row],[Action]]="Dividend"), "",IF(Table1[[#This Row],[Action]]="Buy",(SUMIFS($L$2:L12, $C$2:C12,Table1[[#This Row],[Stock Tickers]], $D$2:D12, "Buy") + Table1[[#This Row],[Amount]]) / ((SUMIFS($E$2:E12, $C$2:C12,Table1[[#This Row],[Stock Tickers]], $D$2:D12, "Buy") + Table1[[#This Row],[Lot ]])*100),LOOKUP(2, 1/($C$2:C12=Table1[[#This Row],[Stock Tickers]]), $G$2:G12)))</f>
        <v>3445.3651488888891</v>
      </c>
      <c r="I12" s="4"/>
      <c r="J12" s="5">
        <f>(Table1[[#This Row],[Lot ]]*100)*IF(Table1[[#This Row],[Action]]="Dividend",Table1[[#This Row],[Dividend per Share]],Table1[[#This Row],[Price]])</f>
        <v>2990000</v>
      </c>
      <c r="K12" s="5">
        <f>(exchange_fee+broker_fee)*J12</f>
        <v>5779.67</v>
      </c>
      <c r="L12" s="5">
        <f>SUM(Table1[[#This Row],[Amount]]:Table1[[#This Row],[Total Fee]])</f>
        <v>2995779.67</v>
      </c>
      <c r="M12" s="8">
        <f>IF(OR(Table1[[#This Row],[Action]]="Buy",Table1[[#This Row],[Action]]="Withdraw"),-Table1[[#This Row],[Net Amount]],Table1[[#This Row],[Net Amount]])</f>
        <v>-2995779.67</v>
      </c>
    </row>
    <row r="13" spans="1:16">
      <c r="A13" s="2">
        <v>45366</v>
      </c>
      <c r="B13" t="str">
        <f t="shared" si="0"/>
        <v>TX0012</v>
      </c>
      <c r="C13" s="3" t="s">
        <v>10</v>
      </c>
      <c r="D13" t="s">
        <v>7</v>
      </c>
      <c r="E13">
        <v>7</v>
      </c>
      <c r="F13" cm="1">
        <f t="array" ref="F13">_xlfn.IFS(Table1[[#This Row],[Action]]="Buy",Table1[[#This Row],[Lot ]],Table1[[#This Row],[Action]]="Sell",-Table1[[#This Row],[Lot ]],Table1[[#This Row],[Action]]="Dividend",0,TRUE,"")</f>
        <v>7</v>
      </c>
      <c r="G13" s="4">
        <v>7200</v>
      </c>
      <c r="H13" s="4" cm="1">
        <f t="array" ref="H13">IF(OR(Table1[[#This Row],[Stock Tickers]]="",Table1[[#This Row],[Action]]="Dividend"), "",IF(Table1[[#This Row],[Action]]="Buy",(SUMIFS($L$2:L13, $C$2:C13,Table1[[#This Row],[Stock Tickers]], $D$2:D13, "Buy") + Table1[[#This Row],[Amount]]) / ((SUMIFS($E$2:E13, $C$2:C13,Table1[[#This Row],[Stock Tickers]], $D$2:D13, "Buy") + Table1[[#This Row],[Lot ]])*100),LOOKUP(2, 1/($C$2:C13=Table1[[#This Row],[Stock Tickers]]), $G$2:G13)))</f>
        <v>7329.5103600000002</v>
      </c>
      <c r="I13" s="4"/>
      <c r="J13" s="5">
        <f>(Table1[[#This Row],[Lot ]]*100)*IF(Table1[[#This Row],[Action]]="Dividend",Table1[[#This Row],[Dividend per Share]],Table1[[#This Row],[Price]])</f>
        <v>5040000</v>
      </c>
      <c r="K13" s="5">
        <f>(exchange_fee+broker_fee)*J13</f>
        <v>9742.32</v>
      </c>
      <c r="L13" s="5">
        <f>SUM(Table1[[#This Row],[Amount]]:Table1[[#This Row],[Total Fee]])</f>
        <v>5049742.32</v>
      </c>
      <c r="M13" s="8">
        <f>IF(OR(Table1[[#This Row],[Action]]="Buy",Table1[[#This Row],[Action]]="Withdraw"),-Table1[[#This Row],[Net Amount]],Table1[[#This Row],[Net Amount]])</f>
        <v>-5049742.32</v>
      </c>
    </row>
    <row r="14" spans="1:16">
      <c r="A14" s="2">
        <v>45373</v>
      </c>
      <c r="B14" t="str">
        <f t="shared" si="0"/>
        <v>TX0013</v>
      </c>
      <c r="C14" s="3" t="s">
        <v>9</v>
      </c>
      <c r="D14" t="s">
        <v>12</v>
      </c>
      <c r="E14">
        <v>59</v>
      </c>
      <c r="F14" cm="1">
        <f t="array" ref="F14">_xlfn.IFS(Table1[[#This Row],[Action]]="Buy",Table1[[#This Row],[Lot ]],Table1[[#This Row],[Action]]="Sell",-Table1[[#This Row],[Lot ]],Table1[[#This Row],[Action]]="Dividend",0,TRUE,"")</f>
        <v>0</v>
      </c>
      <c r="G14" s="4"/>
      <c r="H14" s="4" t="str" cm="1">
        <f t="array" ref="H14">IF(OR(Table1[[#This Row],[Stock Tickers]]="",Table1[[#This Row],[Action]]="Dividend"), "",IF(Table1[[#This Row],[Action]]="Buy",(SUMIFS($L$2:L14, $C$2:C14,Table1[[#This Row],[Stock Tickers]], $D$2:D14, "Buy") + Table1[[#This Row],[Amount]]) / ((SUMIFS($E$2:E14, $C$2:C14,Table1[[#This Row],[Stock Tickers]], $D$2:D14, "Buy") + Table1[[#This Row],[Lot ]])*100),LOOKUP(2, 1/($C$2:C14=Table1[[#This Row],[Stock Tickers]]), $G$2:G14)))</f>
        <v/>
      </c>
      <c r="I14" s="4">
        <v>315</v>
      </c>
      <c r="J14" s="5">
        <f>(Table1[[#This Row],[Lot ]]*100)*IF(Table1[[#This Row],[Action]]="Dividend",Table1[[#This Row],[Dividend per Share]],Table1[[#This Row],[Price]])</f>
        <v>1858500</v>
      </c>
      <c r="K14" s="5"/>
      <c r="L14" s="5">
        <f>SUM(Table1[[#This Row],[Amount]]:Table1[[#This Row],[Total Fee]])</f>
        <v>1858500</v>
      </c>
      <c r="M14" s="8">
        <f>IF(OR(Table1[[#This Row],[Action]]="Buy",Table1[[#This Row],[Action]]="Withdraw"),-Table1[[#This Row],[Net Amount]],Table1[[#This Row],[Net Amount]])</f>
        <v>1858500</v>
      </c>
    </row>
    <row r="15" spans="1:16">
      <c r="A15" s="2">
        <v>45378</v>
      </c>
      <c r="B15" t="str">
        <f t="shared" si="0"/>
        <v>TX0014</v>
      </c>
      <c r="C15" s="3"/>
      <c r="D15" t="s">
        <v>5</v>
      </c>
      <c r="F15" t="str" cm="1">
        <f t="array" ref="F15">_xlfn.IFS(Table1[[#This Row],[Action]]="Buy",Table1[[#This Row],[Lot ]],Table1[[#This Row],[Action]]="Sell",-Table1[[#This Row],[Lot ]],Table1[[#This Row],[Action]]="Dividend",0,TRUE,"")</f>
        <v/>
      </c>
      <c r="G15" s="4"/>
      <c r="H15" s="4" t="str" cm="1">
        <f t="array" ref="H15">IF(OR(Table1[[#This Row],[Stock Tickers]]="",Table1[[#This Row],[Action]]="Dividend"), "",IF(Table1[[#This Row],[Action]]="Buy",(SUMIFS($L$2:L15, $C$2:C15,Table1[[#This Row],[Stock Tickers]], $D$2:D15, "Buy") + Table1[[#This Row],[Amount]]) / ((SUMIFS($E$2:E15, $C$2:C15,Table1[[#This Row],[Stock Tickers]], $D$2:D15, "Buy") + Table1[[#This Row],[Lot ]])*100),LOOKUP(2, 1/($C$2:C15=Table1[[#This Row],[Stock Tickers]]), $G$2:G15)))</f>
        <v/>
      </c>
      <c r="I15" s="4"/>
      <c r="J15" s="5">
        <v>45000000</v>
      </c>
      <c r="K15" s="5"/>
      <c r="L15" s="5">
        <f>SUM(Table1[[#This Row],[Amount]]:Table1[[#This Row],[Total Fee]])</f>
        <v>45000000</v>
      </c>
      <c r="M15" s="8">
        <f>IF(OR(Table1[[#This Row],[Action]]="Buy",Table1[[#This Row],[Action]]="Withdraw"),-Table1[[#This Row],[Net Amount]],Table1[[#This Row],[Net Amount]])</f>
        <v>45000000</v>
      </c>
    </row>
    <row r="16" spans="1:16">
      <c r="A16" s="2">
        <v>45386</v>
      </c>
      <c r="B16" t="str">
        <f t="shared" si="0"/>
        <v>TX0015</v>
      </c>
      <c r="C16" s="3" t="s">
        <v>14</v>
      </c>
      <c r="D16" t="s">
        <v>7</v>
      </c>
      <c r="E16">
        <v>5</v>
      </c>
      <c r="F16" cm="1">
        <f t="array" ref="F16">_xlfn.IFS(Table1[[#This Row],[Action]]="Buy",Table1[[#This Row],[Lot ]],Table1[[#This Row],[Action]]="Sell",-Table1[[#This Row],[Lot ]],Table1[[#This Row],[Action]]="Dividend",0,TRUE,"")</f>
        <v>5</v>
      </c>
      <c r="G16" s="4">
        <v>1150</v>
      </c>
      <c r="H16" s="4" cm="1">
        <f t="array" ref="H16">IF(OR(Table1[[#This Row],[Stock Tickers]]="",Table1[[#This Row],[Action]]="Dividend"), "",IF(Table1[[#This Row],[Action]]="Buy",(SUMIFS($L$2:L16, $C$2:C16,Table1[[#This Row],[Stock Tickers]], $D$2:D16, "Buy") + Table1[[#This Row],[Amount]]) / ((SUMIFS($E$2:E16, $C$2:C16,Table1[[#This Row],[Stock Tickers]], $D$2:D16, "Buy") + Table1[[#This Row],[Lot ]])*100),LOOKUP(2, 1/($C$2:C16=Table1[[#This Row],[Stock Tickers]]), $G$2:G16)))</f>
        <v>1151.1114750000002</v>
      </c>
      <c r="I16" s="4"/>
      <c r="J16" s="5">
        <f>(Table1[[#This Row],[Lot ]]*100)*IF(Table1[[#This Row],[Action]]="Dividend",Table1[[#This Row],[Dividend per Share]],Table1[[#This Row],[Price]])</f>
        <v>575000</v>
      </c>
      <c r="K16" s="5">
        <f>(exchange_fee+broker_fee)*J16</f>
        <v>1111.4749999999999</v>
      </c>
      <c r="L16" s="5">
        <f>SUM(Table1[[#This Row],[Amount]]:Table1[[#This Row],[Total Fee]])</f>
        <v>576111.47499999998</v>
      </c>
      <c r="M16" s="8">
        <f>IF(OR(Table1[[#This Row],[Action]]="Buy",Table1[[#This Row],[Action]]="Withdraw"),-Table1[[#This Row],[Net Amount]],Table1[[#This Row],[Net Amount]])</f>
        <v>-576111.47499999998</v>
      </c>
    </row>
    <row r="17" spans="1:13">
      <c r="A17" s="2">
        <v>45392</v>
      </c>
      <c r="B17" t="str">
        <f t="shared" si="0"/>
        <v>TX0016</v>
      </c>
      <c r="C17" s="3" t="s">
        <v>8</v>
      </c>
      <c r="D17" t="s">
        <v>7</v>
      </c>
      <c r="E17">
        <v>11</v>
      </c>
      <c r="F17" cm="1">
        <f t="array" ref="F17">_xlfn.IFS(Table1[[#This Row],[Action]]="Buy",Table1[[#This Row],[Lot ]],Table1[[#This Row],[Action]]="Sell",-Table1[[#This Row],[Lot ]],Table1[[#This Row],[Action]]="Dividend",0,TRUE,"")</f>
        <v>11</v>
      </c>
      <c r="G17" s="4">
        <v>3840</v>
      </c>
      <c r="H17" s="4" cm="1">
        <f t="array" ref="H17">IF(OR(Table1[[#This Row],[Stock Tickers]]="",Table1[[#This Row],[Action]]="Dividend"), "",IF(Table1[[#This Row],[Action]]="Buy",(SUMIFS($L$2:L17, $C$2:C17,Table1[[#This Row],[Stock Tickers]], $D$2:D17, "Buy") + Table1[[#This Row],[Amount]]) / ((SUMIFS($E$2:E17, $C$2:C17,Table1[[#This Row],[Stock Tickers]], $D$2:D17, "Buy") + Table1[[#This Row],[Lot ]])*100),LOOKUP(2, 1/($C$2:C17=Table1[[#This Row],[Stock Tickers]]), $G$2:G17)))</f>
        <v>3326.7073003124997</v>
      </c>
      <c r="I17" s="4"/>
      <c r="J17" s="5">
        <f>(Table1[[#This Row],[Lot ]]*100)*IF(Table1[[#This Row],[Action]]="Dividend",Table1[[#This Row],[Dividend per Share]],Table1[[#This Row],[Price]])</f>
        <v>4224000</v>
      </c>
      <c r="K17" s="5">
        <f>(exchange_fee+broker_fee)*J17</f>
        <v>8164.9920000000002</v>
      </c>
      <c r="L17" s="5">
        <f>SUM(Table1[[#This Row],[Amount]]:Table1[[#This Row],[Total Fee]])</f>
        <v>4232164.9919999996</v>
      </c>
      <c r="M17" s="8">
        <f>IF(OR(Table1[[#This Row],[Action]]="Buy",Table1[[#This Row],[Action]]="Withdraw"),-Table1[[#This Row],[Net Amount]],Table1[[#This Row],[Net Amount]])</f>
        <v>-4232164.9919999996</v>
      </c>
    </row>
    <row r="18" spans="1:13">
      <c r="A18" s="2">
        <v>45398</v>
      </c>
      <c r="B18" t="str">
        <f t="shared" si="0"/>
        <v>TX0017</v>
      </c>
      <c r="C18" s="3" t="s">
        <v>6</v>
      </c>
      <c r="D18" t="s">
        <v>15</v>
      </c>
      <c r="E18">
        <v>4</v>
      </c>
      <c r="F18" cm="1">
        <f t="array" ref="F18">_xlfn.IFS(Table1[[#This Row],[Action]]="Buy",Table1[[#This Row],[Lot ]],Table1[[#This Row],[Action]]="Sell",-Table1[[#This Row],[Lot ]],Table1[[#This Row],[Action]]="Dividend",0,TRUE,"")</f>
        <v>-4</v>
      </c>
      <c r="G18" s="4">
        <v>6320</v>
      </c>
      <c r="H18" s="4" cm="1">
        <f t="array" ref="H18">IF(OR(Table1[[#This Row],[Stock Tickers]]="",Table1[[#This Row],[Action]]="Dividend"), "",IF(Table1[[#This Row],[Action]]="Buy",(SUMIFS($L$2:L18, $C$2:C18,Table1[[#This Row],[Stock Tickers]], $D$2:D18, "Buy") + Table1[[#This Row],[Amount]]) / ((SUMIFS($E$2:E18, $C$2:C18,Table1[[#This Row],[Stock Tickers]], $D$2:D18, "Buy") + Table1[[#This Row],[Lot ]])*100),LOOKUP(2, 1/($C$2:C18=Table1[[#This Row],[Stock Tickers]]), $G$2:G18)))</f>
        <v>6320</v>
      </c>
      <c r="I18" s="4"/>
      <c r="J18" s="5">
        <f>(Table1[[#This Row],[Lot ]]*100)*IF(Table1[[#This Row],[Action]]="Dividend",Table1[[#This Row],[Dividend per Share]],Table1[[#This Row],[Price]])</f>
        <v>2528000</v>
      </c>
      <c r="K18" s="5">
        <f>(exchange_fee+broker_fee)*J18</f>
        <v>4886.6239999999998</v>
      </c>
      <c r="L18" s="5">
        <f>SUM(Table1[[#This Row],[Amount]]:Table1[[#This Row],[Total Fee]])</f>
        <v>2532886.6239999998</v>
      </c>
      <c r="M18" s="8">
        <f>IF(OR(Table1[[#This Row],[Action]]="Buy",Table1[[#This Row],[Action]]="Withdraw"),-Table1[[#This Row],[Net Amount]],Table1[[#This Row],[Net Amount]])</f>
        <v>2532886.6239999998</v>
      </c>
    </row>
    <row r="19" spans="1:13">
      <c r="A19" s="2">
        <v>45405</v>
      </c>
      <c r="B19" t="str">
        <f t="shared" si="0"/>
        <v>TX0018</v>
      </c>
      <c r="C19" s="3" t="s">
        <v>10</v>
      </c>
      <c r="D19" t="s">
        <v>12</v>
      </c>
      <c r="E19">
        <v>14</v>
      </c>
      <c r="F19" cm="1">
        <f t="array" ref="F19">_xlfn.IFS(Table1[[#This Row],[Action]]="Buy",Table1[[#This Row],[Lot ]],Table1[[#This Row],[Action]]="Sell",-Table1[[#This Row],[Lot ]],Table1[[#This Row],[Action]]="Dividend",0,TRUE,"")</f>
        <v>0</v>
      </c>
      <c r="G19" s="4"/>
      <c r="H19" s="4" t="str" cm="1">
        <f t="array" ref="H19">IF(OR(Table1[[#This Row],[Stock Tickers]]="",Table1[[#This Row],[Action]]="Dividend"), "",IF(Table1[[#This Row],[Action]]="Buy",(SUMIFS($L$2:L19, $C$2:C19,Table1[[#This Row],[Stock Tickers]], $D$2:D19, "Buy") + Table1[[#This Row],[Amount]]) / ((SUMIFS($E$2:E19, $C$2:C19,Table1[[#This Row],[Stock Tickers]], $D$2:D19, "Buy") + Table1[[#This Row],[Lot ]])*100),LOOKUP(2, 1/($C$2:C19=Table1[[#This Row],[Stock Tickers]]), $G$2:G19)))</f>
        <v/>
      </c>
      <c r="I19" s="4">
        <v>50</v>
      </c>
      <c r="J19" s="5">
        <f>(Table1[[#This Row],[Lot ]]*100)*IF(Table1[[#This Row],[Action]]="Dividend",Table1[[#This Row],[Dividend per Share]],Table1[[#This Row],[Price]])</f>
        <v>70000</v>
      </c>
      <c r="K19" s="5"/>
      <c r="L19" s="5">
        <f>SUM(Table1[[#This Row],[Amount]]:Table1[[#This Row],[Total Fee]])</f>
        <v>70000</v>
      </c>
      <c r="M19" s="8">
        <f>IF(OR(Table1[[#This Row],[Action]]="Buy",Table1[[#This Row],[Action]]="Withdraw"),-Table1[[#This Row],[Net Amount]],Table1[[#This Row],[Net Amount]])</f>
        <v>70000</v>
      </c>
    </row>
    <row r="20" spans="1:13">
      <c r="A20" s="2">
        <v>45412</v>
      </c>
      <c r="B20" t="str">
        <f t="shared" si="0"/>
        <v>TX0019</v>
      </c>
      <c r="C20" s="3" t="s">
        <v>11</v>
      </c>
      <c r="D20" t="s">
        <v>7</v>
      </c>
      <c r="E20">
        <v>24</v>
      </c>
      <c r="F20" cm="1">
        <f t="array" ref="F20">_xlfn.IFS(Table1[[#This Row],[Action]]="Buy",Table1[[#This Row],[Lot ]],Table1[[#This Row],[Action]]="Sell",-Table1[[#This Row],[Lot ]],Table1[[#This Row],[Action]]="Dividend",0,TRUE,"")</f>
        <v>24</v>
      </c>
      <c r="G20" s="4">
        <v>4410</v>
      </c>
      <c r="H20" s="4" cm="1">
        <f t="array" ref="H20">IF(OR(Table1[[#This Row],[Stock Tickers]]="",Table1[[#This Row],[Action]]="Dividend"), "",IF(Table1[[#This Row],[Action]]="Buy",(SUMIFS($L$2:L20, $C$2:C20,Table1[[#This Row],[Stock Tickers]], $D$2:D20, "Buy") + Table1[[#This Row],[Amount]]) / ((SUMIFS($E$2:E20, $C$2:C20,Table1[[#This Row],[Stock Tickers]], $D$2:D20, "Buy") + Table1[[#This Row],[Lot ]])*100),LOOKUP(2, 1/($C$2:C20=Table1[[#This Row],[Stock Tickers]]), $G$2:G20)))</f>
        <v>4692.5006789999998</v>
      </c>
      <c r="I20" s="4"/>
      <c r="J20" s="5">
        <f>(Table1[[#This Row],[Lot ]]*100)*IF(Table1[[#This Row],[Action]]="Dividend",Table1[[#This Row],[Dividend per Share]],Table1[[#This Row],[Price]])</f>
        <v>10584000</v>
      </c>
      <c r="K20" s="5">
        <f>(exchange_fee+broker_fee)*J20</f>
        <v>20458.871999999999</v>
      </c>
      <c r="L20" s="5">
        <f>SUM(Table1[[#This Row],[Amount]]:Table1[[#This Row],[Total Fee]])</f>
        <v>10604458.872</v>
      </c>
      <c r="M20" s="8">
        <f>IF(OR(Table1[[#This Row],[Action]]="Buy",Table1[[#This Row],[Action]]="Withdraw"),-Table1[[#This Row],[Net Amount]],Table1[[#This Row],[Net Amount]])</f>
        <v>-10604458.872</v>
      </c>
    </row>
    <row r="21" spans="1:13">
      <c r="A21" s="2">
        <v>45417</v>
      </c>
      <c r="B21" t="str">
        <f t="shared" si="0"/>
        <v>TX0020</v>
      </c>
      <c r="C21" s="3" t="s">
        <v>6</v>
      </c>
      <c r="D21" t="s">
        <v>15</v>
      </c>
      <c r="E21">
        <v>10</v>
      </c>
      <c r="F21" cm="1">
        <f t="array" ref="F21">_xlfn.IFS(Table1[[#This Row],[Action]]="Buy",Table1[[#This Row],[Lot ]],Table1[[#This Row],[Action]]="Sell",-Table1[[#This Row],[Lot ]],Table1[[#This Row],[Action]]="Dividend",0,TRUE,"")</f>
        <v>-10</v>
      </c>
      <c r="G21" s="4">
        <v>6570</v>
      </c>
      <c r="H21" s="4" cm="1">
        <f t="array" ref="H21">IF(OR(Table1[[#This Row],[Stock Tickers]]="",Table1[[#This Row],[Action]]="Dividend"), "",IF(Table1[[#This Row],[Action]]="Buy",(SUMIFS($L$2:L21, $C$2:C21,Table1[[#This Row],[Stock Tickers]], $D$2:D21, "Buy") + Table1[[#This Row],[Amount]]) / ((SUMIFS($E$2:E21, $C$2:C21,Table1[[#This Row],[Stock Tickers]], $D$2:D21, "Buy") + Table1[[#This Row],[Lot ]])*100),LOOKUP(2, 1/($C$2:C21=Table1[[#This Row],[Stock Tickers]]), $G$2:G21)))</f>
        <v>6570</v>
      </c>
      <c r="I21" s="4"/>
      <c r="J21" s="5">
        <f>(Table1[[#This Row],[Lot ]]*100)*IF(Table1[[#This Row],[Action]]="Dividend",Table1[[#This Row],[Dividend per Share]],Table1[[#This Row],[Price]])</f>
        <v>6570000</v>
      </c>
      <c r="K21" s="5">
        <f>(exchange_fee+broker_fee)*J21</f>
        <v>12699.81</v>
      </c>
      <c r="L21" s="5">
        <f>SUM(Table1[[#This Row],[Amount]]:Table1[[#This Row],[Total Fee]])</f>
        <v>6582699.8099999996</v>
      </c>
      <c r="M21" s="8">
        <f>IF(OR(Table1[[#This Row],[Action]]="Buy",Table1[[#This Row],[Action]]="Withdraw"),-Table1[[#This Row],[Net Amount]],Table1[[#This Row],[Net Amount]])</f>
        <v>6582699.8099999996</v>
      </c>
    </row>
    <row r="22" spans="1:13">
      <c r="A22" s="2">
        <v>45418</v>
      </c>
      <c r="B22" t="str">
        <f t="shared" si="0"/>
        <v>TX0021</v>
      </c>
      <c r="C22" s="3" t="s">
        <v>16</v>
      </c>
      <c r="D22" t="s">
        <v>7</v>
      </c>
      <c r="E22">
        <v>100</v>
      </c>
      <c r="F22" cm="1">
        <f t="array" ref="F22">_xlfn.IFS(Table1[[#This Row],[Action]]="Buy",Table1[[#This Row],[Lot ]],Table1[[#This Row],[Action]]="Sell",-Table1[[#This Row],[Lot ]],Table1[[#This Row],[Action]]="Dividend",0,TRUE,"")</f>
        <v>100</v>
      </c>
      <c r="G22" s="4">
        <v>128</v>
      </c>
      <c r="H22" s="4" cm="1">
        <f t="array" ref="H22">IF(OR(Table1[[#This Row],[Stock Tickers]]="",Table1[[#This Row],[Action]]="Dividend"), "",IF(Table1[[#This Row],[Action]]="Buy",(SUMIFS($L$2:L22, $C$2:C22,Table1[[#This Row],[Stock Tickers]], $D$2:D22, "Buy") + Table1[[#This Row],[Amount]]) / ((SUMIFS($E$2:E22, $C$2:C22,Table1[[#This Row],[Stock Tickers]], $D$2:D22, "Buy") + Table1[[#This Row],[Lot ]])*100),LOOKUP(2, 1/($C$2:C22=Table1[[#This Row],[Stock Tickers]]), $G$2:G22)))</f>
        <v>128.12371200000001</v>
      </c>
      <c r="I22" s="4"/>
      <c r="J22" s="5">
        <f>(Table1[[#This Row],[Lot ]]*100)*IF(Table1[[#This Row],[Action]]="Dividend",Table1[[#This Row],[Dividend per Share]],Table1[[#This Row],[Price]])</f>
        <v>1280000</v>
      </c>
      <c r="K22" s="5">
        <f>(exchange_fee+broker_fee)*J22</f>
        <v>2474.2400000000002</v>
      </c>
      <c r="L22" s="5">
        <f>SUM(Table1[[#This Row],[Amount]]:Table1[[#This Row],[Total Fee]])</f>
        <v>1282474.24</v>
      </c>
      <c r="M22" s="8">
        <f>IF(OR(Table1[[#This Row],[Action]]="Buy",Table1[[#This Row],[Action]]="Withdraw"),-Table1[[#This Row],[Net Amount]],Table1[[#This Row],[Net Amount]])</f>
        <v>-1282474.24</v>
      </c>
    </row>
    <row r="23" spans="1:13">
      <c r="A23" s="2">
        <v>45429</v>
      </c>
      <c r="B23" t="str">
        <f t="shared" si="0"/>
        <v>TX0022</v>
      </c>
      <c r="C23" s="3" t="s">
        <v>9</v>
      </c>
      <c r="D23" t="s">
        <v>7</v>
      </c>
      <c r="E23">
        <v>14</v>
      </c>
      <c r="F23" cm="1">
        <f t="array" ref="F23">_xlfn.IFS(Table1[[#This Row],[Action]]="Buy",Table1[[#This Row],[Lot ]],Table1[[#This Row],[Action]]="Sell",-Table1[[#This Row],[Lot ]],Table1[[#This Row],[Action]]="Dividend",0,TRUE,"")</f>
        <v>14</v>
      </c>
      <c r="G23" s="4">
        <v>1870</v>
      </c>
      <c r="H23" s="4" cm="1">
        <f t="array" ref="H23">IF(OR(Table1[[#This Row],[Stock Tickers]]="",Table1[[#This Row],[Action]]="Dividend"), "",IF(Table1[[#This Row],[Action]]="Buy",(SUMIFS($L$2:L23, $C$2:C23,Table1[[#This Row],[Stock Tickers]], $D$2:D23, "Buy") + Table1[[#This Row],[Amount]]) / ((SUMIFS($E$2:E23, $C$2:C23,Table1[[#This Row],[Stock Tickers]], $D$2:D23, "Buy") + Table1[[#This Row],[Lot ]])*100),LOOKUP(2, 1/($C$2:C23=Table1[[#This Row],[Stock Tickers]]), $G$2:G23)))</f>
        <v>2487.7822686206896</v>
      </c>
      <c r="I23" s="4"/>
      <c r="J23" s="5">
        <f>(Table1[[#This Row],[Lot ]]*100)*IF(Table1[[#This Row],[Action]]="Dividend",Table1[[#This Row],[Dividend per Share]],Table1[[#This Row],[Price]])</f>
        <v>2618000</v>
      </c>
      <c r="K23" s="5">
        <f>(exchange_fee+broker_fee)*J23</f>
        <v>5060.5940000000001</v>
      </c>
      <c r="L23" s="5">
        <f>SUM(Table1[[#This Row],[Amount]]:Table1[[#This Row],[Total Fee]])</f>
        <v>2623060.594</v>
      </c>
      <c r="M23" s="8">
        <f>IF(OR(Table1[[#This Row],[Action]]="Buy",Table1[[#This Row],[Action]]="Withdraw"),-Table1[[#This Row],[Net Amount]],Table1[[#This Row],[Net Amount]])</f>
        <v>-2623060.594</v>
      </c>
    </row>
    <row r="24" spans="1:13">
      <c r="A24" s="2">
        <v>45436</v>
      </c>
      <c r="B24" t="str">
        <f t="shared" si="0"/>
        <v>TX0023</v>
      </c>
      <c r="C24" s="3" t="s">
        <v>11</v>
      </c>
      <c r="D24" t="s">
        <v>12</v>
      </c>
      <c r="E24">
        <v>56</v>
      </c>
      <c r="F24" cm="1">
        <f t="array" ref="F24">_xlfn.IFS(Table1[[#This Row],[Action]]="Buy",Table1[[#This Row],[Lot ]],Table1[[#This Row],[Action]]="Sell",-Table1[[#This Row],[Lot ]],Table1[[#This Row],[Action]]="Dividend",0,TRUE,"")</f>
        <v>0</v>
      </c>
      <c r="G24" s="4"/>
      <c r="H24" s="4" t="str" cm="1">
        <f t="array" ref="H24">IF(OR(Table1[[#This Row],[Stock Tickers]]="",Table1[[#This Row],[Action]]="Dividend"), "",IF(Table1[[#This Row],[Action]]="Buy",(SUMIFS($L$2:L24, $C$2:C24,Table1[[#This Row],[Stock Tickers]], $D$2:D24, "Buy") + Table1[[#This Row],[Amount]]) / ((SUMIFS($E$2:E24, $C$2:C24,Table1[[#This Row],[Stock Tickers]], $D$2:D24, "Buy") + Table1[[#This Row],[Lot ]])*100),LOOKUP(2, 1/($C$2:C24=Table1[[#This Row],[Stock Tickers]]), $G$2:G24)))</f>
        <v/>
      </c>
      <c r="I24" s="4">
        <v>519</v>
      </c>
      <c r="J24" s="5">
        <f>(Table1[[#This Row],[Lot ]]*100)*IF(Table1[[#This Row],[Action]]="Dividend",Table1[[#This Row],[Dividend per Share]],Table1[[#This Row],[Price]])</f>
        <v>2906400</v>
      </c>
      <c r="K24" s="5"/>
      <c r="L24" s="5">
        <f>SUM(Table1[[#This Row],[Amount]]:Table1[[#This Row],[Total Fee]])</f>
        <v>2906400</v>
      </c>
      <c r="M24" s="8">
        <f>IF(OR(Table1[[#This Row],[Action]]="Buy",Table1[[#This Row],[Action]]="Withdraw"),-Table1[[#This Row],[Net Amount]],Table1[[#This Row],[Net Amount]])</f>
        <v>2906400</v>
      </c>
    </row>
    <row r="25" spans="1:13">
      <c r="A25" s="2">
        <v>45442</v>
      </c>
      <c r="B25" t="str">
        <f t="shared" si="0"/>
        <v>TX0024</v>
      </c>
      <c r="C25" s="3" t="s">
        <v>6</v>
      </c>
      <c r="D25" t="s">
        <v>7</v>
      </c>
      <c r="E25">
        <v>12</v>
      </c>
      <c r="F25" cm="1">
        <f t="array" ref="F25">_xlfn.IFS(Table1[[#This Row],[Action]]="Buy",Table1[[#This Row],[Lot ]],Table1[[#This Row],[Action]]="Sell",-Table1[[#This Row],[Lot ]],Table1[[#This Row],[Action]]="Dividend",0,TRUE,"")</f>
        <v>12</v>
      </c>
      <c r="G25" s="4">
        <v>4440</v>
      </c>
      <c r="H25" s="4" cm="1">
        <f t="array" ref="H25">IF(OR(Table1[[#This Row],[Stock Tickers]]="",Table1[[#This Row],[Action]]="Dividend"), "",IF(Table1[[#This Row],[Action]]="Buy",(SUMIFS($L$2:L25, $C$2:C25,Table1[[#This Row],[Stock Tickers]], $D$2:D25, "Buy") + Table1[[#This Row],[Amount]]) / ((SUMIFS($E$2:E25, $C$2:C25,Table1[[#This Row],[Stock Tickers]], $D$2:D25, "Buy") + Table1[[#This Row],[Lot ]])*100),LOOKUP(2, 1/($C$2:C25=Table1[[#This Row],[Stock Tickers]]), $G$2:G25)))</f>
        <v>3928.8885074576269</v>
      </c>
      <c r="I25" s="4"/>
      <c r="J25" s="5">
        <f>(Table1[[#This Row],[Lot ]]*100)*IF(Table1[[#This Row],[Action]]="Dividend",Table1[[#This Row],[Dividend per Share]],Table1[[#This Row],[Price]])</f>
        <v>5328000</v>
      </c>
      <c r="K25" s="5">
        <f>(exchange_fee+broker_fee)*J25</f>
        <v>10299.023999999999</v>
      </c>
      <c r="L25" s="5">
        <f>SUM(Table1[[#This Row],[Amount]]:Table1[[#This Row],[Total Fee]])</f>
        <v>5338299.0240000002</v>
      </c>
      <c r="M25" s="8">
        <f>IF(OR(Table1[[#This Row],[Action]]="Buy",Table1[[#This Row],[Action]]="Withdraw"),-Table1[[#This Row],[Net Amount]],Table1[[#This Row],[Net Amount]])</f>
        <v>-5338299.0240000002</v>
      </c>
    </row>
    <row r="26" spans="1:13">
      <c r="A26" s="2">
        <v>45449</v>
      </c>
      <c r="B26" t="str">
        <f t="shared" si="0"/>
        <v>TX0025</v>
      </c>
      <c r="C26" s="3" t="s">
        <v>13</v>
      </c>
      <c r="D26" t="s">
        <v>7</v>
      </c>
      <c r="E26">
        <v>5</v>
      </c>
      <c r="F26" cm="1">
        <f t="array" ref="F26">_xlfn.IFS(Table1[[#This Row],[Action]]="Buy",Table1[[#This Row],[Lot ]],Table1[[#This Row],[Action]]="Sell",-Table1[[#This Row],[Lot ]],Table1[[#This Row],[Action]]="Dividend",0,TRUE,"")</f>
        <v>5</v>
      </c>
      <c r="G26" s="4">
        <v>31100</v>
      </c>
      <c r="H26" s="4" cm="1">
        <f t="array" ref="H26">IF(OR(Table1[[#This Row],[Stock Tickers]]="",Table1[[#This Row],[Action]]="Dividend"), "",IF(Table1[[#This Row],[Action]]="Buy",(SUMIFS($L$2:L26, $C$2:C26,Table1[[#This Row],[Stock Tickers]], $D$2:D26, "Buy") + Table1[[#This Row],[Amount]]) / ((SUMIFS($E$2:E26, $C$2:C26,Table1[[#This Row],[Stock Tickers]], $D$2:D26, "Buy") + Table1[[#This Row],[Lot ]])*100),LOOKUP(2, 1/($C$2:C26=Table1[[#This Row],[Stock Tickers]]), $G$2:G26)))</f>
        <v>30594.024074999998</v>
      </c>
      <c r="I26" s="4"/>
      <c r="J26" s="5">
        <f>(Table1[[#This Row],[Lot ]]*100)*IF(Table1[[#This Row],[Action]]="Dividend",Table1[[#This Row],[Dividend per Share]],Table1[[#This Row],[Price]])</f>
        <v>15550000</v>
      </c>
      <c r="K26" s="5">
        <f>(exchange_fee+broker_fee)*J26</f>
        <v>30058.15</v>
      </c>
      <c r="L26" s="5">
        <f>SUM(Table1[[#This Row],[Amount]]:Table1[[#This Row],[Total Fee]])</f>
        <v>15580058.15</v>
      </c>
      <c r="M26" s="8">
        <f>IF(OR(Table1[[#This Row],[Action]]="Buy",Table1[[#This Row],[Action]]="Withdraw"),-Table1[[#This Row],[Net Amount]],Table1[[#This Row],[Net Amount]])</f>
        <v>-15580058.15</v>
      </c>
    </row>
    <row r="27" spans="1:13">
      <c r="A27" s="2">
        <v>45455</v>
      </c>
      <c r="B27" t="str">
        <f t="shared" si="0"/>
        <v>TX0026</v>
      </c>
      <c r="C27" s="3" t="s">
        <v>14</v>
      </c>
      <c r="D27" t="s">
        <v>7</v>
      </c>
      <c r="E27">
        <v>7</v>
      </c>
      <c r="F27" cm="1">
        <f t="array" ref="F27">_xlfn.IFS(Table1[[#This Row],[Action]]="Buy",Table1[[#This Row],[Lot ]],Table1[[#This Row],[Action]]="Sell",-Table1[[#This Row],[Lot ]],Table1[[#This Row],[Action]]="Dividend",0,TRUE,"")</f>
        <v>7</v>
      </c>
      <c r="G27" s="4">
        <v>1060</v>
      </c>
      <c r="H27" s="4" cm="1">
        <f t="array" ref="H27">IF(OR(Table1[[#This Row],[Stock Tickers]]="",Table1[[#This Row],[Action]]="Dividend"), "",IF(Table1[[#This Row],[Action]]="Buy",(SUMIFS($L$2:L27, $C$2:C27,Table1[[#This Row],[Stock Tickers]], $D$2:D27, "Buy") + Table1[[#This Row],[Amount]]) / ((SUMIFS($E$2:E27, $C$2:C27,Table1[[#This Row],[Stock Tickers]], $D$2:D27, "Buy") + Table1[[#This Row],[Lot ]])*100),LOOKUP(2, 1/($C$2:C27=Table1[[#This Row],[Stock Tickers]]), $G$2:G27)))</f>
        <v>1085.024084736842</v>
      </c>
      <c r="I27" s="4"/>
      <c r="J27" s="5">
        <f>(Table1[[#This Row],[Lot ]]*100)*IF(Table1[[#This Row],[Action]]="Dividend",Table1[[#This Row],[Dividend per Share]],Table1[[#This Row],[Price]])</f>
        <v>742000</v>
      </c>
      <c r="K27" s="5">
        <f>(exchange_fee+broker_fee)*J27</f>
        <v>1434.2860000000001</v>
      </c>
      <c r="L27" s="5">
        <f>SUM(Table1[[#This Row],[Amount]]:Table1[[#This Row],[Total Fee]])</f>
        <v>743434.28599999996</v>
      </c>
      <c r="M27" s="8">
        <f>IF(OR(Table1[[#This Row],[Action]]="Buy",Table1[[#This Row],[Action]]="Withdraw"),-Table1[[#This Row],[Net Amount]],Table1[[#This Row],[Net Amount]])</f>
        <v>-743434.28599999996</v>
      </c>
    </row>
    <row r="28" spans="1:13">
      <c r="A28" s="2">
        <v>45461</v>
      </c>
      <c r="B28" t="str">
        <f t="shared" si="0"/>
        <v>TX0027</v>
      </c>
      <c r="C28" s="3" t="s">
        <v>10</v>
      </c>
      <c r="D28" t="s">
        <v>7</v>
      </c>
      <c r="E28">
        <v>6</v>
      </c>
      <c r="F28" cm="1">
        <f t="array" ref="F28">_xlfn.IFS(Table1[[#This Row],[Action]]="Buy",Table1[[#This Row],[Lot ]],Table1[[#This Row],[Action]]="Sell",-Table1[[#This Row],[Lot ]],Table1[[#This Row],[Action]]="Dividend",0,TRUE,"")</f>
        <v>6</v>
      </c>
      <c r="G28" s="4">
        <v>6190</v>
      </c>
      <c r="H28" s="4" cm="1">
        <f t="array" ref="H28">IF(OR(Table1[[#This Row],[Stock Tickers]]="",Table1[[#This Row],[Action]]="Dividend"), "",IF(Table1[[#This Row],[Action]]="Buy",(SUMIFS($L$2:L28, $C$2:C28,Table1[[#This Row],[Stock Tickers]], $D$2:D28, "Buy") + Table1[[#This Row],[Amount]]) / ((SUMIFS($E$2:E28, $C$2:C28,Table1[[#This Row],[Stock Tickers]], $D$2:D28, "Buy") + Table1[[#This Row],[Lot ]])*100),LOOKUP(2, 1/($C$2:C28=Table1[[#This Row],[Stock Tickers]]), $G$2:G28)))</f>
        <v>6841.2118915384617</v>
      </c>
      <c r="I28" s="4"/>
      <c r="J28" s="5">
        <f>(Table1[[#This Row],[Lot ]]*100)*IF(Table1[[#This Row],[Action]]="Dividend",Table1[[#This Row],[Dividend per Share]],Table1[[#This Row],[Price]])</f>
        <v>3714000</v>
      </c>
      <c r="K28" s="5">
        <f>(exchange_fee+broker_fee)*J28</f>
        <v>7179.1620000000003</v>
      </c>
      <c r="L28" s="5">
        <f>SUM(Table1[[#This Row],[Amount]]:Table1[[#This Row],[Total Fee]])</f>
        <v>3721179.162</v>
      </c>
      <c r="M28" s="8">
        <f>IF(OR(Table1[[#This Row],[Action]]="Buy",Table1[[#This Row],[Action]]="Withdraw"),-Table1[[#This Row],[Net Amount]],Table1[[#This Row],[Net Amount]])</f>
        <v>-3721179.162</v>
      </c>
    </row>
    <row r="29" spans="1:13">
      <c r="A29" s="2">
        <v>45470</v>
      </c>
      <c r="B29" t="str">
        <f t="shared" si="0"/>
        <v>TX0028</v>
      </c>
      <c r="C29" s="3"/>
      <c r="D29" t="s">
        <v>5</v>
      </c>
      <c r="F29" t="str" cm="1">
        <f t="array" ref="F29">_xlfn.IFS(Table1[[#This Row],[Action]]="Buy",Table1[[#This Row],[Lot ]],Table1[[#This Row],[Action]]="Sell",-Table1[[#This Row],[Lot ]],Table1[[#This Row],[Action]]="Dividend",0,TRUE,"")</f>
        <v/>
      </c>
      <c r="G29" s="4"/>
      <c r="H29" s="4" t="str" cm="1">
        <f t="array" ref="H29">IF(OR(Table1[[#This Row],[Stock Tickers]]="",Table1[[#This Row],[Action]]="Dividend"), "",IF(Table1[[#This Row],[Action]]="Buy",(SUMIFS($L$2:L29, $C$2:C29,Table1[[#This Row],[Stock Tickers]], $D$2:D29, "Buy") + Table1[[#This Row],[Amount]]) / ((SUMIFS($E$2:E29, $C$2:C29,Table1[[#This Row],[Stock Tickers]], $D$2:D29, "Buy") + Table1[[#This Row],[Lot ]])*100),LOOKUP(2, 1/($C$2:C29=Table1[[#This Row],[Stock Tickers]]), $G$2:G29)))</f>
        <v/>
      </c>
      <c r="I29" s="4"/>
      <c r="J29" s="5">
        <v>60000000</v>
      </c>
      <c r="K29" s="5"/>
      <c r="L29" s="5">
        <f>SUM(Table1[[#This Row],[Amount]]:Table1[[#This Row],[Total Fee]])</f>
        <v>60000000</v>
      </c>
      <c r="M29" s="8">
        <f>IF(OR(Table1[[#This Row],[Action]]="Buy",Table1[[#This Row],[Action]]="Withdraw"),-Table1[[#This Row],[Net Amount]],Table1[[#This Row],[Net Amount]])</f>
        <v>60000000</v>
      </c>
    </row>
    <row r="30" spans="1:13">
      <c r="A30" s="2">
        <v>45473</v>
      </c>
      <c r="B30" t="str">
        <f t="shared" si="0"/>
        <v>TX0029</v>
      </c>
      <c r="C30" s="3" t="s">
        <v>13</v>
      </c>
      <c r="D30" t="s">
        <v>12</v>
      </c>
      <c r="E30">
        <v>15</v>
      </c>
      <c r="F30" cm="1">
        <f t="array" ref="F30">_xlfn.IFS(Table1[[#This Row],[Action]]="Buy",Table1[[#This Row],[Lot ]],Table1[[#This Row],[Action]]="Sell",-Table1[[#This Row],[Lot ]],Table1[[#This Row],[Action]]="Dividend",0,TRUE,"")</f>
        <v>0</v>
      </c>
      <c r="H30" s="4" t="str" cm="1">
        <f t="array" ref="H30">IF(OR(Table1[[#This Row],[Stock Tickers]]="",Table1[[#This Row],[Action]]="Dividend"), "",IF(Table1[[#This Row],[Action]]="Buy",(SUMIFS($L$2:L30, $C$2:C30,Table1[[#This Row],[Stock Tickers]], $D$2:D30, "Buy") + Table1[[#This Row],[Amount]]) / ((SUMIFS($E$2:E30, $C$2:C30,Table1[[#This Row],[Stock Tickers]], $D$2:D30, "Buy") + Table1[[#This Row],[Lot ]])*100),LOOKUP(2, 1/($C$2:C30=Table1[[#This Row],[Stock Tickers]]), $G$2:G30)))</f>
        <v/>
      </c>
      <c r="I30" s="4">
        <v>2975</v>
      </c>
      <c r="J30" s="5">
        <f>(Table1[[#This Row],[Lot ]]*100)*IF(Table1[[#This Row],[Action]]="Dividend",Table1[[#This Row],[Dividend per Share]],Table1[[#This Row],[Price]])</f>
        <v>4462500</v>
      </c>
      <c r="K30" s="5"/>
      <c r="L30" s="5">
        <f>SUM(Table1[[#This Row],[Amount]]:Table1[[#This Row],[Total Fee]])</f>
        <v>4462500</v>
      </c>
      <c r="M30" s="8">
        <f>IF(OR(Table1[[#This Row],[Action]]="Buy",Table1[[#This Row],[Action]]="Withdraw"),-Table1[[#This Row],[Net Amount]],Table1[[#This Row],[Net Amount]])</f>
        <v>4462500</v>
      </c>
    </row>
    <row r="31" spans="1:13">
      <c r="A31" s="2">
        <v>45480</v>
      </c>
      <c r="B31" t="str">
        <f t="shared" si="0"/>
        <v>TX0030</v>
      </c>
      <c r="C31" s="3" t="s">
        <v>11</v>
      </c>
      <c r="D31" t="s">
        <v>7</v>
      </c>
      <c r="E31">
        <v>12</v>
      </c>
      <c r="F31" cm="1">
        <f t="array" ref="F31">_xlfn.IFS(Table1[[#This Row],[Action]]="Buy",Table1[[#This Row],[Lot ]],Table1[[#This Row],[Action]]="Sell",-Table1[[#This Row],[Lot ]],Table1[[#This Row],[Action]]="Dividend",0,TRUE,"")</f>
        <v>12</v>
      </c>
      <c r="G31" s="4">
        <v>4950</v>
      </c>
      <c r="H31" s="4" cm="1">
        <f t="array" ref="H31">IF(OR(Table1[[#This Row],[Stock Tickers]]="",Table1[[#This Row],[Action]]="Dividend"), "",IF(Table1[[#This Row],[Action]]="Buy",(SUMIFS($L$2:L31, $C$2:C31,Table1[[#This Row],[Stock Tickers]], $D$2:D31, "Buy") + Table1[[#This Row],[Amount]]) / ((SUMIFS($E$2:E31, $C$2:C31,Table1[[#This Row],[Stock Tickers]], $D$2:D31, "Buy") + Table1[[#This Row],[Lot ]])*100),LOOKUP(2, 1/($C$2:C31=Table1[[#This Row],[Stock Tickers]]), $G$2:G31)))</f>
        <v>4855.9359315000002</v>
      </c>
      <c r="I31" s="4"/>
      <c r="J31" s="5">
        <f>(Table1[[#This Row],[Lot ]]*100)*IF(Table1[[#This Row],[Action]]="Dividend",Table1[[#This Row],[Dividend per Share]],Table1[[#This Row],[Price]])</f>
        <v>5940000</v>
      </c>
      <c r="K31" s="5">
        <f>(exchange_fee+broker_fee)*J31</f>
        <v>11482.02</v>
      </c>
      <c r="L31" s="5">
        <f>SUM(Table1[[#This Row],[Amount]]:Table1[[#This Row],[Total Fee]])</f>
        <v>5951482.0199999996</v>
      </c>
      <c r="M31" s="8">
        <f>IF(OR(Table1[[#This Row],[Action]]="Buy",Table1[[#This Row],[Action]]="Withdraw"),-Table1[[#This Row],[Net Amount]],Table1[[#This Row],[Net Amount]])</f>
        <v>-5951482.0199999996</v>
      </c>
    </row>
    <row r="32" spans="1:13">
      <c r="A32" s="2">
        <v>45481</v>
      </c>
      <c r="B32" t="str">
        <f t="shared" si="0"/>
        <v>TX0031</v>
      </c>
      <c r="C32" s="3" t="s">
        <v>13</v>
      </c>
      <c r="D32" t="s">
        <v>7</v>
      </c>
      <c r="E32">
        <v>14</v>
      </c>
      <c r="F32" cm="1">
        <f t="array" ref="F32">_xlfn.IFS(Table1[[#This Row],[Action]]="Buy",Table1[[#This Row],[Lot ]],Table1[[#This Row],[Action]]="Sell",-Table1[[#This Row],[Lot ]],Table1[[#This Row],[Action]]="Dividend",0,TRUE,"")</f>
        <v>14</v>
      </c>
      <c r="G32" s="4">
        <v>27300</v>
      </c>
      <c r="H32" s="4" cm="1">
        <f t="array" ref="H32">IF(OR(Table1[[#This Row],[Stock Tickers]]="",Table1[[#This Row],[Action]]="Dividend"), "",IF(Table1[[#This Row],[Action]]="Buy",(SUMIFS($L$2:L32, $C$2:C32,Table1[[#This Row],[Stock Tickers]], $D$2:D32, "Buy") + Table1[[#This Row],[Amount]]) / ((SUMIFS($E$2:E32, $C$2:C32,Table1[[#This Row],[Stock Tickers]], $D$2:D32, "Buy") + Table1[[#This Row],[Lot ]])*100),LOOKUP(2, 1/($C$2:C32=Table1[[#This Row],[Stock Tickers]]), $G$2:G32)))</f>
        <v>28407.424979069765</v>
      </c>
      <c r="I32" s="4"/>
      <c r="J32" s="5">
        <f>(Table1[[#This Row],[Lot ]]*100)*IF(Table1[[#This Row],[Action]]="Dividend",Table1[[#This Row],[Dividend per Share]],Table1[[#This Row],[Price]])</f>
        <v>38220000</v>
      </c>
      <c r="K32" s="5">
        <f>(exchange_fee+broker_fee)*J32</f>
        <v>73879.259999999995</v>
      </c>
      <c r="L32" s="5">
        <f>SUM(Table1[[#This Row],[Amount]]:Table1[[#This Row],[Total Fee]])</f>
        <v>38293879.259999998</v>
      </c>
      <c r="M32" s="8">
        <f>IF(OR(Table1[[#This Row],[Action]]="Buy",Table1[[#This Row],[Action]]="Withdraw"),-Table1[[#This Row],[Net Amount]],Table1[[#This Row],[Net Amount]])</f>
        <v>-38293879.259999998</v>
      </c>
    </row>
    <row r="33" spans="1:13">
      <c r="A33" s="2">
        <v>45488</v>
      </c>
      <c r="B33" t="str">
        <f t="shared" si="0"/>
        <v>TX0032</v>
      </c>
      <c r="C33" s="3" t="s">
        <v>6</v>
      </c>
      <c r="D33" t="s">
        <v>7</v>
      </c>
      <c r="E33">
        <v>9</v>
      </c>
      <c r="F33" cm="1">
        <f t="array" ref="F33">_xlfn.IFS(Table1[[#This Row],[Action]]="Buy",Table1[[#This Row],[Lot ]],Table1[[#This Row],[Action]]="Sell",-Table1[[#This Row],[Lot ]],Table1[[#This Row],[Action]]="Dividend",0,TRUE,"")</f>
        <v>9</v>
      </c>
      <c r="G33" s="4">
        <v>4170</v>
      </c>
      <c r="H33" s="4" cm="1">
        <f t="array" ref="H33">IF(OR(Table1[[#This Row],[Stock Tickers]]="",Table1[[#This Row],[Action]]="Dividend"), "",IF(Table1[[#This Row],[Action]]="Buy",(SUMIFS($L$2:L33, $C$2:C33,Table1[[#This Row],[Stock Tickers]], $D$2:D33, "Buy") + Table1[[#This Row],[Amount]]) / ((SUMIFS($E$2:E33, $C$2:C33,Table1[[#This Row],[Stock Tickers]], $D$2:D33, "Buy") + Table1[[#This Row],[Lot ]])*100),LOOKUP(2, 1/($C$2:C33=Table1[[#This Row],[Stock Tickers]]), $G$2:G33)))</f>
        <v>3902.4148835384613</v>
      </c>
      <c r="I33" s="4"/>
      <c r="J33" s="5">
        <f>(Table1[[#This Row],[Lot ]]*100)*IF(Table1[[#This Row],[Action]]="Dividend",Table1[[#This Row],[Dividend per Share]],Table1[[#This Row],[Price]])</f>
        <v>3753000</v>
      </c>
      <c r="K33" s="5">
        <f>(exchange_fee+broker_fee)*J33</f>
        <v>7254.549</v>
      </c>
      <c r="L33" s="5">
        <f>SUM(Table1[[#This Row],[Amount]]:Table1[[#This Row],[Total Fee]])</f>
        <v>3760254.5490000001</v>
      </c>
      <c r="M33" s="8">
        <f>IF(OR(Table1[[#This Row],[Action]]="Buy",Table1[[#This Row],[Action]]="Withdraw"),-Table1[[#This Row],[Net Amount]],Table1[[#This Row],[Net Amount]])</f>
        <v>-3760254.5490000001</v>
      </c>
    </row>
    <row r="34" spans="1:13">
      <c r="A34" s="2">
        <v>45495</v>
      </c>
      <c r="B34" t="str">
        <f t="shared" si="0"/>
        <v>TX0033</v>
      </c>
      <c r="C34" s="3"/>
      <c r="D34" t="s">
        <v>5</v>
      </c>
      <c r="F34" t="str" cm="1">
        <f t="array" ref="F34">_xlfn.IFS(Table1[[#This Row],[Action]]="Buy",Table1[[#This Row],[Lot ]],Table1[[#This Row],[Action]]="Sell",-Table1[[#This Row],[Lot ]],Table1[[#This Row],[Action]]="Dividend",0,TRUE,"")</f>
        <v/>
      </c>
      <c r="G34" s="4"/>
      <c r="H34" s="4" t="str" cm="1">
        <f t="array" ref="H34">IF(OR(Table1[[#This Row],[Stock Tickers]]="",Table1[[#This Row],[Action]]="Dividend"), "",IF(Table1[[#This Row],[Action]]="Buy",(SUMIFS($L$2:L34, $C$2:C34,Table1[[#This Row],[Stock Tickers]], $D$2:D34, "Buy") + Table1[[#This Row],[Amount]]) / ((SUMIFS($E$2:E34, $C$2:C34,Table1[[#This Row],[Stock Tickers]], $D$2:D34, "Buy") + Table1[[#This Row],[Lot ]])*100),LOOKUP(2, 1/($C$2:C34=Table1[[#This Row],[Stock Tickers]]), $G$2:G34)))</f>
        <v/>
      </c>
      <c r="I34" s="4"/>
      <c r="J34" s="5">
        <v>100000000</v>
      </c>
      <c r="K34" s="5"/>
      <c r="L34" s="5">
        <f>SUM(Table1[[#This Row],[Amount]]:Table1[[#This Row],[Total Fee]])</f>
        <v>100000000</v>
      </c>
      <c r="M34" s="8">
        <f>IF(OR(Table1[[#This Row],[Action]]="Buy",Table1[[#This Row],[Action]]="Withdraw"),-Table1[[#This Row],[Net Amount]],Table1[[#This Row],[Net Amount]])</f>
        <v>100000000</v>
      </c>
    </row>
    <row r="35" spans="1:13">
      <c r="A35" s="2">
        <v>45504</v>
      </c>
      <c r="B35" t="str">
        <f t="shared" si="0"/>
        <v>TX0034</v>
      </c>
      <c r="C35" s="3" t="s">
        <v>8</v>
      </c>
      <c r="D35" t="s">
        <v>7</v>
      </c>
      <c r="E35">
        <v>15</v>
      </c>
      <c r="F35" cm="1">
        <f t="array" ref="F35">_xlfn.IFS(Table1[[#This Row],[Action]]="Buy",Table1[[#This Row],[Lot ]],Table1[[#This Row],[Action]]="Sell",-Table1[[#This Row],[Lot ]],Table1[[#This Row],[Action]]="Dividend",0,TRUE,"")</f>
        <v>15</v>
      </c>
      <c r="G35" s="4">
        <v>3220</v>
      </c>
      <c r="H35" s="4" cm="1">
        <f t="array" ref="H35">IF(OR(Table1[[#This Row],[Stock Tickers]]="",Table1[[#This Row],[Action]]="Dividend"), "",IF(Table1[[#This Row],[Action]]="Buy",(SUMIFS($L$2:L35, $C$2:C35,Table1[[#This Row],[Stock Tickers]], $D$2:D35, "Buy") + Table1[[#This Row],[Amount]]) / ((SUMIFS($E$2:E35, $C$2:C35,Table1[[#This Row],[Stock Tickers]], $D$2:D35, "Buy") + Table1[[#This Row],[Lot ]])*100),LOOKUP(2, 1/($C$2:C35=Table1[[#This Row],[Stock Tickers]]), $G$2:G35)))</f>
        <v>3221.2365195180723</v>
      </c>
      <c r="I35" s="4"/>
      <c r="J35" s="5">
        <f>(Table1[[#This Row],[Lot ]]*100)*IF(Table1[[#This Row],[Action]]="Dividend",Table1[[#This Row],[Dividend per Share]],Table1[[#This Row],[Price]])</f>
        <v>4830000</v>
      </c>
      <c r="K35" s="5">
        <f>(exchange_fee+broker_fee)*J35</f>
        <v>9336.39</v>
      </c>
      <c r="L35" s="5">
        <f>SUM(Table1[[#This Row],[Amount]]:Table1[[#This Row],[Total Fee]])</f>
        <v>4839336.3899999997</v>
      </c>
      <c r="M35" s="8">
        <f>IF(OR(Table1[[#This Row],[Action]]="Buy",Table1[[#This Row],[Action]]="Withdraw"),-Table1[[#This Row],[Net Amount]],Table1[[#This Row],[Net Amount]])</f>
        <v>-4839336.3899999997</v>
      </c>
    </row>
    <row r="36" spans="1:13">
      <c r="A36" s="2">
        <v>45512</v>
      </c>
      <c r="B36" t="str">
        <f t="shared" si="0"/>
        <v>TX0035</v>
      </c>
      <c r="C36" s="3" t="s">
        <v>10</v>
      </c>
      <c r="D36" t="s">
        <v>15</v>
      </c>
      <c r="E36">
        <v>5</v>
      </c>
      <c r="F36" cm="1">
        <f t="array" ref="F36">_xlfn.IFS(Table1[[#This Row],[Action]]="Buy",Table1[[#This Row],[Lot ]],Table1[[#This Row],[Action]]="Sell",-Table1[[#This Row],[Lot ]],Table1[[#This Row],[Action]]="Dividend",0,TRUE,"")</f>
        <v>-5</v>
      </c>
      <c r="G36" s="4">
        <v>9350</v>
      </c>
      <c r="H36" s="4" cm="1">
        <f t="array" ref="H36">IF(OR(Table1[[#This Row],[Stock Tickers]]="",Table1[[#This Row],[Action]]="Dividend"), "",IF(Table1[[#This Row],[Action]]="Buy",(SUMIFS($L$2:L36, $C$2:C36,Table1[[#This Row],[Stock Tickers]], $D$2:D36, "Buy") + Table1[[#This Row],[Amount]]) / ((SUMIFS($E$2:E36, $C$2:C36,Table1[[#This Row],[Stock Tickers]], $D$2:D36, "Buy") + Table1[[#This Row],[Lot ]])*100),LOOKUP(2, 1/($C$2:C36=Table1[[#This Row],[Stock Tickers]]), $G$2:G36)))</f>
        <v>9350</v>
      </c>
      <c r="I36" s="4"/>
      <c r="J36" s="5">
        <f>(Table1[[#This Row],[Lot ]]*100)*IF(Table1[[#This Row],[Action]]="Dividend",Table1[[#This Row],[Dividend per Share]],Table1[[#This Row],[Price]])</f>
        <v>4675000</v>
      </c>
      <c r="K36" s="5">
        <f>(exchange_fee+broker_fee)*J36</f>
        <v>9036.7749999999996</v>
      </c>
      <c r="L36" s="5">
        <f>SUM(Table1[[#This Row],[Amount]]:Table1[[#This Row],[Total Fee]])</f>
        <v>4684036.7750000004</v>
      </c>
      <c r="M36" s="8">
        <f>IF(OR(Table1[[#This Row],[Action]]="Buy",Table1[[#This Row],[Action]]="Withdraw"),-Table1[[#This Row],[Net Amount]],Table1[[#This Row],[Net Amount]])</f>
        <v>4684036.7750000004</v>
      </c>
    </row>
    <row r="37" spans="1:13">
      <c r="A37" s="2">
        <v>45512</v>
      </c>
      <c r="B37" t="str">
        <f t="shared" si="0"/>
        <v>TX0036</v>
      </c>
      <c r="C37" s="3" t="s">
        <v>9</v>
      </c>
      <c r="D37" t="s">
        <v>7</v>
      </c>
      <c r="E37">
        <v>16</v>
      </c>
      <c r="F37" cm="1">
        <f t="array" ref="F37">_xlfn.IFS(Table1[[#This Row],[Action]]="Buy",Table1[[#This Row],[Lot ]],Table1[[#This Row],[Action]]="Sell",-Table1[[#This Row],[Lot ]],Table1[[#This Row],[Action]]="Dividend",0,TRUE,"")</f>
        <v>16</v>
      </c>
      <c r="G37" s="4">
        <v>1990</v>
      </c>
      <c r="H37" s="4" cm="1">
        <f t="array" ref="H37">IF(OR(Table1[[#This Row],[Stock Tickers]]="",Table1[[#This Row],[Action]]="Dividend"), "",IF(Table1[[#This Row],[Action]]="Buy",(SUMIFS($L$2:L37, $C$2:C37,Table1[[#This Row],[Stock Tickers]], $D$2:D37, "Buy") + Table1[[#This Row],[Amount]]) / ((SUMIFS($E$2:E37, $C$2:C37,Table1[[#This Row],[Stock Tickers]], $D$2:D37, "Buy") + Table1[[#This Row],[Lot ]])*100),LOOKUP(2, 1/($C$2:C37=Table1[[#This Row],[Stock Tickers]]), $G$2:G37)))</f>
        <v>2419.0343246666666</v>
      </c>
      <c r="I37" s="4"/>
      <c r="J37" s="5">
        <f>(Table1[[#This Row],[Lot ]]*100)*IF(Table1[[#This Row],[Action]]="Dividend",Table1[[#This Row],[Dividend per Share]],Table1[[#This Row],[Price]])</f>
        <v>3184000</v>
      </c>
      <c r="K37" s="5">
        <f>(exchange_fee+broker_fee)*J37</f>
        <v>6154.6720000000005</v>
      </c>
      <c r="L37" s="5">
        <f>SUM(Table1[[#This Row],[Amount]]:Table1[[#This Row],[Total Fee]])</f>
        <v>3190154.6719999998</v>
      </c>
      <c r="M37" s="8">
        <f>IF(OR(Table1[[#This Row],[Action]]="Buy",Table1[[#This Row],[Action]]="Withdraw"),-Table1[[#This Row],[Net Amount]],Table1[[#This Row],[Net Amount]])</f>
        <v>-3190154.6719999998</v>
      </c>
    </row>
    <row r="38" spans="1:13">
      <c r="A38" s="2">
        <v>45515</v>
      </c>
      <c r="B38" t="str">
        <f t="shared" si="0"/>
        <v>TX0037</v>
      </c>
      <c r="C38" s="3"/>
      <c r="D38" t="s">
        <v>5</v>
      </c>
      <c r="F38" t="str" cm="1">
        <f t="array" ref="F38">_xlfn.IFS(Table1[[#This Row],[Action]]="Buy",Table1[[#This Row],[Lot ]],Table1[[#This Row],[Action]]="Sell",-Table1[[#This Row],[Lot ]],Table1[[#This Row],[Action]]="Dividend",0,TRUE,"")</f>
        <v/>
      </c>
      <c r="G38" s="4"/>
      <c r="H38" s="4" t="str" cm="1">
        <f t="array" ref="H38">IF(OR(Table1[[#This Row],[Stock Tickers]]="",Table1[[#This Row],[Action]]="Dividend"), "",IF(Table1[[#This Row],[Action]]="Buy",(SUMIFS($L$2:L38, $C$2:C38,Table1[[#This Row],[Stock Tickers]], $D$2:D38, "Buy") + Table1[[#This Row],[Amount]]) / ((SUMIFS($E$2:E38, $C$2:C38,Table1[[#This Row],[Stock Tickers]], $D$2:D38, "Buy") + Table1[[#This Row],[Lot ]])*100),LOOKUP(2, 1/($C$2:C38=Table1[[#This Row],[Stock Tickers]]), $G$2:G38)))</f>
        <v/>
      </c>
      <c r="I38" s="4"/>
      <c r="J38" s="5">
        <v>45000000</v>
      </c>
      <c r="K38" s="5"/>
      <c r="L38" s="5">
        <f>SUM(Table1[[#This Row],[Amount]]:Table1[[#This Row],[Total Fee]])</f>
        <v>45000000</v>
      </c>
      <c r="M38" s="8">
        <f>IF(OR(Table1[[#This Row],[Action]]="Buy",Table1[[#This Row],[Action]]="Withdraw"),-Table1[[#This Row],[Net Amount]],Table1[[#This Row],[Net Amount]])</f>
        <v>45000000</v>
      </c>
    </row>
    <row r="39" spans="1:13">
      <c r="A39" s="2">
        <v>45523</v>
      </c>
      <c r="B39" t="str">
        <f t="shared" si="0"/>
        <v>TX0038</v>
      </c>
      <c r="C39" s="3" t="s">
        <v>14</v>
      </c>
      <c r="D39" t="s">
        <v>12</v>
      </c>
      <c r="E39">
        <v>12</v>
      </c>
      <c r="F39" cm="1">
        <f t="array" ref="F39">_xlfn.IFS(Table1[[#This Row],[Action]]="Buy",Table1[[#This Row],[Lot ]],Table1[[#This Row],[Action]]="Sell",-Table1[[#This Row],[Lot ]],Table1[[#This Row],[Action]]="Dividend",0,TRUE,"")</f>
        <v>0</v>
      </c>
      <c r="G39" s="4"/>
      <c r="H39" s="4" t="str" cm="1">
        <f t="array" ref="H39">IF(OR(Table1[[#This Row],[Stock Tickers]]="",Table1[[#This Row],[Action]]="Dividend"), "",IF(Table1[[#This Row],[Action]]="Buy",(SUMIFS($L$2:L39, $C$2:C39,Table1[[#This Row],[Stock Tickers]], $D$2:D39, "Buy") + Table1[[#This Row],[Amount]]) / ((SUMIFS($E$2:E39, $C$2:C39,Table1[[#This Row],[Stock Tickers]], $D$2:D39, "Buy") + Table1[[#This Row],[Lot ]])*100),LOOKUP(2, 1/($C$2:C39=Table1[[#This Row],[Stock Tickers]]), $G$2:G39)))</f>
        <v/>
      </c>
      <c r="I39" s="4">
        <v>200</v>
      </c>
      <c r="J39" s="5">
        <f>(Table1[[#This Row],[Lot ]]*100)*IF(Table1[[#This Row],[Action]]="Dividend",Table1[[#This Row],[Dividend per Share]],Table1[[#This Row],[Price]])</f>
        <v>240000</v>
      </c>
      <c r="K39" s="5"/>
      <c r="L39" s="5">
        <f>SUM(Table1[[#This Row],[Amount]]:Table1[[#This Row],[Total Fee]])</f>
        <v>240000</v>
      </c>
      <c r="M39" s="8">
        <f>IF(OR(Table1[[#This Row],[Action]]="Buy",Table1[[#This Row],[Action]]="Withdraw"),-Table1[[#This Row],[Net Amount]],Table1[[#This Row],[Net Amount]])</f>
        <v>240000</v>
      </c>
    </row>
    <row r="40" spans="1:13">
      <c r="A40" s="2">
        <v>45525</v>
      </c>
      <c r="B40" t="str">
        <f t="shared" si="0"/>
        <v>TX0039</v>
      </c>
      <c r="C40" s="3" t="s">
        <v>6</v>
      </c>
      <c r="D40" t="s">
        <v>7</v>
      </c>
      <c r="E40">
        <v>34</v>
      </c>
      <c r="F40" cm="1">
        <f t="array" ref="F40">_xlfn.IFS(Table1[[#This Row],[Action]]="Buy",Table1[[#This Row],[Lot ]],Table1[[#This Row],[Action]]="Sell",-Table1[[#This Row],[Lot ]],Table1[[#This Row],[Action]]="Dividend",0,TRUE,"")</f>
        <v>34</v>
      </c>
      <c r="G40" s="4">
        <v>3810</v>
      </c>
      <c r="H40" s="4" cm="1">
        <f t="array" ref="H40">IF(OR(Table1[[#This Row],[Stock Tickers]]="",Table1[[#This Row],[Action]]="Dividend"), "",IF(Table1[[#This Row],[Action]]="Buy",(SUMIFS($L$2:L40, $C$2:C40,Table1[[#This Row],[Stock Tickers]], $D$2:D40, "Buy") + Table1[[#This Row],[Amount]]) / ((SUMIFS($E$2:E40, $C$2:C40,Table1[[#This Row],[Stock Tickers]], $D$2:D40, "Buy") + Table1[[#This Row],[Lot ]])*100),LOOKUP(2, 1/($C$2:C40=Table1[[#This Row],[Stock Tickers]]), $G$2:G40)))</f>
        <v>3834.3336149193547</v>
      </c>
      <c r="I40" s="4"/>
      <c r="J40" s="5">
        <f>(Table1[[#This Row],[Lot ]]*100)*IF(Table1[[#This Row],[Action]]="Dividend",Table1[[#This Row],[Dividend per Share]],Table1[[#This Row],[Price]])</f>
        <v>12954000</v>
      </c>
      <c r="K40" s="5">
        <f>(exchange_fee+broker_fee)*J40</f>
        <v>25040.082000000002</v>
      </c>
      <c r="L40" s="5">
        <f>SUM(Table1[[#This Row],[Amount]]:Table1[[#This Row],[Total Fee]])</f>
        <v>12979040.082</v>
      </c>
      <c r="M40" s="8">
        <f>IF(OR(Table1[[#This Row],[Action]]="Buy",Table1[[#This Row],[Action]]="Withdraw"),-Table1[[#This Row],[Net Amount]],Table1[[#This Row],[Net Amount]])</f>
        <v>-12979040.082</v>
      </c>
    </row>
    <row r="41" spans="1:13">
      <c r="A41" s="2">
        <v>45532</v>
      </c>
      <c r="B41" t="str">
        <f t="shared" si="0"/>
        <v>TX0040</v>
      </c>
      <c r="C41" s="3" t="s">
        <v>11</v>
      </c>
      <c r="D41" t="s">
        <v>7</v>
      </c>
      <c r="E41">
        <v>29</v>
      </c>
      <c r="F41" cm="1">
        <f t="array" ref="F41">_xlfn.IFS(Table1[[#This Row],[Action]]="Buy",Table1[[#This Row],[Lot ]],Table1[[#This Row],[Action]]="Sell",-Table1[[#This Row],[Lot ]],Table1[[#This Row],[Action]]="Dividend",0,TRUE,"")</f>
        <v>29</v>
      </c>
      <c r="G41" s="4">
        <v>5300</v>
      </c>
      <c r="H41" s="4" cm="1">
        <f t="array" ref="H41">IF(OR(Table1[[#This Row],[Stock Tickers]]="",Table1[[#This Row],[Action]]="Dividend"), "",IF(Table1[[#This Row],[Action]]="Buy",(SUMIFS($L$2:L41, $C$2:C41,Table1[[#This Row],[Stock Tickers]], $D$2:D41, "Buy") + Table1[[#This Row],[Amount]]) / ((SUMIFS($E$2:E41, $C$2:C41,Table1[[#This Row],[Stock Tickers]], $D$2:D41, "Buy") + Table1[[#This Row],[Lot ]])*100),LOOKUP(2, 1/($C$2:C41=Table1[[#This Row],[Stock Tickers]]), $G$2:G41)))</f>
        <v>5053.7458461904762</v>
      </c>
      <c r="I41" s="4"/>
      <c r="J41" s="5">
        <f>(Table1[[#This Row],[Lot ]]*100)*IF(Table1[[#This Row],[Action]]="Dividend",Table1[[#This Row],[Dividend per Share]],Table1[[#This Row],[Price]])</f>
        <v>15370000</v>
      </c>
      <c r="K41" s="5">
        <f>(exchange_fee+broker_fee)*J41</f>
        <v>29710.21</v>
      </c>
      <c r="L41" s="5">
        <f>SUM(Table1[[#This Row],[Amount]]:Table1[[#This Row],[Total Fee]])</f>
        <v>15399710.210000001</v>
      </c>
      <c r="M41" s="8">
        <f>IF(OR(Table1[[#This Row],[Action]]="Buy",Table1[[#This Row],[Action]]="Withdraw"),-Table1[[#This Row],[Net Amount]],Table1[[#This Row],[Net Amount]])</f>
        <v>-15399710.210000001</v>
      </c>
    </row>
    <row r="42" spans="1:13">
      <c r="A42" s="2">
        <v>45536</v>
      </c>
      <c r="B42" t="str">
        <f t="shared" si="0"/>
        <v>TX0041</v>
      </c>
      <c r="C42" s="3" t="s">
        <v>16</v>
      </c>
      <c r="D42" t="s">
        <v>7</v>
      </c>
      <c r="E42">
        <v>34</v>
      </c>
      <c r="F42" cm="1">
        <f t="array" ref="F42">_xlfn.IFS(Table1[[#This Row],[Action]]="Buy",Table1[[#This Row],[Lot ]],Table1[[#This Row],[Action]]="Sell",-Table1[[#This Row],[Lot ]],Table1[[#This Row],[Action]]="Dividend",0,TRUE,"")</f>
        <v>34</v>
      </c>
      <c r="G42" s="4">
        <v>112</v>
      </c>
      <c r="H42" s="4" cm="1">
        <f t="array" ref="H42">IF(OR(Table1[[#This Row],[Stock Tickers]]="",Table1[[#This Row],[Action]]="Dividend"), "",IF(Table1[[#This Row],[Action]]="Buy",(SUMIFS($L$2:L42, $C$2:C42,Table1[[#This Row],[Stock Tickers]], $D$2:D42, "Buy") + Table1[[#This Row],[Amount]]) / ((SUMIFS($E$2:E42, $C$2:C42,Table1[[#This Row],[Stock Tickers]], $D$2:D42, "Buy") + Table1[[#This Row],[Lot ]])*100),LOOKUP(2, 1/($C$2:C42=Table1[[#This Row],[Stock Tickers]]), $G$2:G42)))</f>
        <v>121.71490038095237</v>
      </c>
      <c r="I42" s="4"/>
      <c r="J42" s="5">
        <f>(Table1[[#This Row],[Lot ]]*100)*IF(Table1[[#This Row],[Action]]="Dividend",Table1[[#This Row],[Dividend per Share]],Table1[[#This Row],[Price]])</f>
        <v>380800</v>
      </c>
      <c r="K42" s="5">
        <f>(exchange_fee+broker_fee)*J42</f>
        <v>736.08640000000003</v>
      </c>
      <c r="L42" s="5">
        <f>SUM(Table1[[#This Row],[Amount]]:Table1[[#This Row],[Total Fee]])</f>
        <v>381536.08639999997</v>
      </c>
      <c r="M42" s="8">
        <f>IF(OR(Table1[[#This Row],[Action]]="Buy",Table1[[#This Row],[Action]]="Withdraw"),-Table1[[#This Row],[Net Amount]],Table1[[#This Row],[Net Amount]])</f>
        <v>-381536.08639999997</v>
      </c>
    </row>
    <row r="43" spans="1:13">
      <c r="A43" s="2">
        <v>45539</v>
      </c>
      <c r="B43" t="str">
        <f t="shared" si="0"/>
        <v>TX0042</v>
      </c>
      <c r="C43" s="3"/>
      <c r="D43" t="s">
        <v>5</v>
      </c>
      <c r="F43" t="str" cm="1">
        <f t="array" ref="F43">_xlfn.IFS(Table1[[#This Row],[Action]]="Buy",Table1[[#This Row],[Lot ]],Table1[[#This Row],[Action]]="Sell",-Table1[[#This Row],[Lot ]],Table1[[#This Row],[Action]]="Dividend",0,TRUE,"")</f>
        <v/>
      </c>
      <c r="G43" s="4"/>
      <c r="H43" s="4" t="str" cm="1">
        <f t="array" ref="H43">IF(OR(Table1[[#This Row],[Stock Tickers]]="",Table1[[#This Row],[Action]]="Dividend"), "",IF(Table1[[#This Row],[Action]]="Buy",(SUMIFS($L$2:L43, $C$2:C43,Table1[[#This Row],[Stock Tickers]], $D$2:D43, "Buy") + Table1[[#This Row],[Amount]]) / ((SUMIFS($E$2:E43, $C$2:C43,Table1[[#This Row],[Stock Tickers]], $D$2:D43, "Buy") + Table1[[#This Row],[Lot ]])*100),LOOKUP(2, 1/($C$2:C43=Table1[[#This Row],[Stock Tickers]]), $G$2:G43)))</f>
        <v/>
      </c>
      <c r="I43" s="4"/>
      <c r="J43" s="5">
        <v>80000000</v>
      </c>
      <c r="K43" s="5"/>
      <c r="L43" s="5">
        <f>SUM(Table1[[#This Row],[Amount]]:Table1[[#This Row],[Total Fee]])</f>
        <v>80000000</v>
      </c>
      <c r="M43" s="8">
        <f>IF(OR(Table1[[#This Row],[Action]]="Buy",Table1[[#This Row],[Action]]="Withdraw"),-Table1[[#This Row],[Net Amount]],Table1[[#This Row],[Net Amount]])</f>
        <v>80000000</v>
      </c>
    </row>
    <row r="44" spans="1:13">
      <c r="A44" s="2">
        <v>45551</v>
      </c>
      <c r="B44" t="str">
        <f t="shared" si="0"/>
        <v>TX0043</v>
      </c>
      <c r="C44" s="3" t="s">
        <v>8</v>
      </c>
      <c r="D44" t="s">
        <v>7</v>
      </c>
      <c r="E44">
        <v>17</v>
      </c>
      <c r="F44" cm="1">
        <f t="array" ref="F44">_xlfn.IFS(Table1[[#This Row],[Action]]="Buy",Table1[[#This Row],[Lot ]],Table1[[#This Row],[Action]]="Sell",-Table1[[#This Row],[Lot ]],Table1[[#This Row],[Action]]="Dividend",0,TRUE,"")</f>
        <v>17</v>
      </c>
      <c r="G44" s="4">
        <v>2480</v>
      </c>
      <c r="H44" s="4" cm="1">
        <f t="array" ref="H44">IF(OR(Table1[[#This Row],[Stock Tickers]]="",Table1[[#This Row],[Action]]="Dividend"), "",IF(Table1[[#This Row],[Action]]="Buy",(SUMIFS($L$2:L44, $C$2:C44,Table1[[#This Row],[Stock Tickers]], $D$2:D44, "Buy") + Table1[[#This Row],[Amount]]) / ((SUMIFS($E$2:E44, $C$2:C44,Table1[[#This Row],[Stock Tickers]], $D$2:D44, "Buy") + Table1[[#This Row],[Lot ]])*100),LOOKUP(2, 1/($C$2:C44=Table1[[#This Row],[Stock Tickers]]), $G$2:G44)))</f>
        <v>2975.138494117647</v>
      </c>
      <c r="I44" s="4"/>
      <c r="J44" s="5">
        <f>(Table1[[#This Row],[Lot ]]*100)*IF(Table1[[#This Row],[Action]]="Dividend",Table1[[#This Row],[Dividend per Share]],Table1[[#This Row],[Price]])</f>
        <v>4216000</v>
      </c>
      <c r="K44" s="5">
        <f>(exchange_fee+broker_fee)*J44</f>
        <v>8149.5280000000002</v>
      </c>
      <c r="L44" s="5">
        <f>SUM(Table1[[#This Row],[Amount]]:Table1[[#This Row],[Total Fee]])</f>
        <v>4224149.5279999999</v>
      </c>
      <c r="M44" s="8">
        <f>IF(OR(Table1[[#This Row],[Action]]="Buy",Table1[[#This Row],[Action]]="Withdraw"),-Table1[[#This Row],[Net Amount]],Table1[[#This Row],[Net Amount]])</f>
        <v>-4224149.5279999999</v>
      </c>
    </row>
    <row r="45" spans="1:13">
      <c r="A45" s="2">
        <v>45554</v>
      </c>
      <c r="B45" t="str">
        <f t="shared" si="0"/>
        <v>TX0044</v>
      </c>
      <c r="C45" s="3" t="s">
        <v>10</v>
      </c>
      <c r="D45" t="s">
        <v>7</v>
      </c>
      <c r="E45">
        <v>15</v>
      </c>
      <c r="F45" cm="1">
        <f t="array" ref="F45">_xlfn.IFS(Table1[[#This Row],[Action]]="Buy",Table1[[#This Row],[Lot ]],Table1[[#This Row],[Action]]="Sell",-Table1[[#This Row],[Lot ]],Table1[[#This Row],[Action]]="Dividend",0,TRUE,"")</f>
        <v>15</v>
      </c>
      <c r="G45" s="4">
        <v>5980</v>
      </c>
      <c r="H45" s="4" cm="1">
        <f t="array" ref="H45">IF(OR(Table1[[#This Row],[Stock Tickers]]="",Table1[[#This Row],[Action]]="Dividend"), "",IF(Table1[[#This Row],[Action]]="Buy",(SUMIFS($L$2:L45, $C$2:C45,Table1[[#This Row],[Stock Tickers]], $D$2:D45, "Buy") + Table1[[#This Row],[Amount]]) / ((SUMIFS($E$2:E45, $C$2:C45,Table1[[#This Row],[Stock Tickers]], $D$2:D45, "Buy") + Table1[[#This Row],[Lot ]])*100),LOOKUP(2, 1/($C$2:C45=Table1[[#This Row],[Stock Tickers]]), $G$2:G45)))</f>
        <v>6406.0979856000004</v>
      </c>
      <c r="I45" s="4"/>
      <c r="J45" s="5">
        <f>(Table1[[#This Row],[Lot ]]*100)*IF(Table1[[#This Row],[Action]]="Dividend",Table1[[#This Row],[Dividend per Share]],Table1[[#This Row],[Price]])</f>
        <v>8970000</v>
      </c>
      <c r="K45" s="5">
        <f>(exchange_fee+broker_fee)*J45</f>
        <v>17339.010000000002</v>
      </c>
      <c r="L45" s="5">
        <f>SUM(Table1[[#This Row],[Amount]]:Table1[[#This Row],[Total Fee]])</f>
        <v>8987339.0099999998</v>
      </c>
      <c r="M45" s="8">
        <f>IF(OR(Table1[[#This Row],[Action]]="Buy",Table1[[#This Row],[Action]]="Withdraw"),-Table1[[#This Row],[Net Amount]],Table1[[#This Row],[Net Amount]])</f>
        <v>-8987339.0099999998</v>
      </c>
    </row>
    <row r="46" spans="1:13">
      <c r="A46" s="2">
        <v>45560</v>
      </c>
      <c r="B46" t="str">
        <f t="shared" si="0"/>
        <v>TX0045</v>
      </c>
      <c r="C46" s="3" t="s">
        <v>9</v>
      </c>
      <c r="D46" t="s">
        <v>7</v>
      </c>
      <c r="E46">
        <v>20</v>
      </c>
      <c r="F46" cm="1">
        <f t="array" ref="F46">_xlfn.IFS(Table1[[#This Row],[Action]]="Buy",Table1[[#This Row],[Lot ]],Table1[[#This Row],[Action]]="Sell",-Table1[[#This Row],[Lot ]],Table1[[#This Row],[Action]]="Dividend",0,TRUE,"")</f>
        <v>20</v>
      </c>
      <c r="G46" s="4">
        <v>1650</v>
      </c>
      <c r="H46" s="4" cm="1">
        <f t="array" ref="H46">IF(OR(Table1[[#This Row],[Stock Tickers]]="",Table1[[#This Row],[Action]]="Dividend"), "",IF(Table1[[#This Row],[Action]]="Buy",(SUMIFS($L$2:L46, $C$2:C46,Table1[[#This Row],[Stock Tickers]], $D$2:D46, "Buy") + Table1[[#This Row],[Amount]]) / ((SUMIFS($E$2:E46, $C$2:C46,Table1[[#This Row],[Stock Tickers]], $D$2:D46, "Buy") + Table1[[#This Row],[Lot ]])*100),LOOKUP(2, 1/($C$2:C46=Table1[[#This Row],[Stock Tickers]]), $G$2:G46)))</f>
        <v>2234.282116976744</v>
      </c>
      <c r="I46" s="4"/>
      <c r="J46" s="5">
        <f>(Table1[[#This Row],[Lot ]]*100)*IF(Table1[[#This Row],[Action]]="Dividend",Table1[[#This Row],[Dividend per Share]],Table1[[#This Row],[Price]])</f>
        <v>3300000</v>
      </c>
      <c r="K46" s="5">
        <f>(exchange_fee+broker_fee)*J46</f>
        <v>6378.9000000000005</v>
      </c>
      <c r="L46" s="5">
        <f>SUM(Table1[[#This Row],[Amount]]:Table1[[#This Row],[Total Fee]])</f>
        <v>3306378.9</v>
      </c>
      <c r="M46" s="8">
        <f>IF(OR(Table1[[#This Row],[Action]]="Buy",Table1[[#This Row],[Action]]="Withdraw"),-Table1[[#This Row],[Net Amount]],Table1[[#This Row],[Net Amount]])</f>
        <v>-3306378.9</v>
      </c>
    </row>
    <row r="47" spans="1:13">
      <c r="A47" s="2">
        <v>45563</v>
      </c>
      <c r="B47" t="str">
        <f t="shared" si="0"/>
        <v>TX0046</v>
      </c>
      <c r="C47" s="3" t="s">
        <v>6</v>
      </c>
      <c r="D47" t="s">
        <v>7</v>
      </c>
      <c r="E47">
        <v>38</v>
      </c>
      <c r="F47" cm="1">
        <f t="array" ref="F47">_xlfn.IFS(Table1[[#This Row],[Action]]="Buy",Table1[[#This Row],[Lot ]],Table1[[#This Row],[Action]]="Sell",-Table1[[#This Row],[Lot ]],Table1[[#This Row],[Action]]="Dividend",0,TRUE,"")</f>
        <v>38</v>
      </c>
      <c r="G47" s="4">
        <v>3010</v>
      </c>
      <c r="H47" s="4" cm="1">
        <f t="array" ref="H47">IF(OR(Table1[[#This Row],[Stock Tickers]]="",Table1[[#This Row],[Action]]="Dividend"), "",IF(Table1[[#This Row],[Action]]="Buy",(SUMIFS($L$2:L47, $C$2:C47,Table1[[#This Row],[Stock Tickers]], $D$2:D47, "Buy") + Table1[[#This Row],[Amount]]) / ((SUMIFS($E$2:E47, $C$2:C47,Table1[[#This Row],[Stock Tickers]], $D$2:D47, "Buy") + Table1[[#This Row],[Lot ]])*100),LOOKUP(2, 1/($C$2:C47=Table1[[#This Row],[Stock Tickers]]), $G$2:G47)))</f>
        <v>3463.2437637951803</v>
      </c>
      <c r="I47" s="4"/>
      <c r="J47" s="5">
        <f>(Table1[[#This Row],[Lot ]]*100)*IF(Table1[[#This Row],[Action]]="Dividend",Table1[[#This Row],[Dividend per Share]],Table1[[#This Row],[Price]])</f>
        <v>11438000</v>
      </c>
      <c r="K47" s="5">
        <f>(exchange_fee+broker_fee)*J47</f>
        <v>22109.653999999999</v>
      </c>
      <c r="L47" s="5">
        <f>SUM(Table1[[#This Row],[Amount]]:Table1[[#This Row],[Total Fee]])</f>
        <v>11460109.653999999</v>
      </c>
      <c r="M47" s="8">
        <f>IF(OR(Table1[[#This Row],[Action]]="Buy",Table1[[#This Row],[Action]]="Withdraw"),-Table1[[#This Row],[Net Amount]],Table1[[#This Row],[Net Amount]])</f>
        <v>-11460109.653999999</v>
      </c>
    </row>
    <row r="48" spans="1:13">
      <c r="A48" s="2">
        <v>45575</v>
      </c>
      <c r="B48" t="str">
        <f t="shared" si="0"/>
        <v>TX0047</v>
      </c>
      <c r="C48" s="3" t="s">
        <v>6</v>
      </c>
      <c r="D48" t="s">
        <v>12</v>
      </c>
      <c r="E48">
        <v>142</v>
      </c>
      <c r="F48" cm="1">
        <f t="array" ref="F48">_xlfn.IFS(Table1[[#This Row],[Action]]="Buy",Table1[[#This Row],[Lot ]],Table1[[#This Row],[Action]]="Sell",-Table1[[#This Row],[Lot ]],Table1[[#This Row],[Action]]="Dividend",0,TRUE,"")</f>
        <v>0</v>
      </c>
      <c r="G48" s="4"/>
      <c r="H48" s="4" t="str" cm="1">
        <f t="array" ref="H48">IF(OR(Table1[[#This Row],[Stock Tickers]]="",Table1[[#This Row],[Action]]="Dividend"), "",IF(Table1[[#This Row],[Action]]="Buy",(SUMIFS($L$2:L48, $C$2:C48,Table1[[#This Row],[Stock Tickers]], $D$2:D48, "Buy") + Table1[[#This Row],[Amount]]) / ((SUMIFS($E$2:E48, $C$2:C48,Table1[[#This Row],[Stock Tickers]], $D$2:D48, "Buy") + Table1[[#This Row],[Lot ]])*100),LOOKUP(2, 1/($C$2:C48=Table1[[#This Row],[Stock Tickers]]), $G$2:G48)))</f>
        <v/>
      </c>
      <c r="I48" s="4">
        <v>370</v>
      </c>
      <c r="J48" s="5">
        <f>(Table1[[#This Row],[Lot ]]*100)*IF(Table1[[#This Row],[Action]]="Dividend",Table1[[#This Row],[Dividend per Share]],Table1[[#This Row],[Price]])</f>
        <v>5254000</v>
      </c>
      <c r="K48" s="5"/>
      <c r="L48" s="5">
        <f>SUM(Table1[[#This Row],[Amount]]:Table1[[#This Row],[Total Fee]])</f>
        <v>5254000</v>
      </c>
      <c r="M48" s="8">
        <f>IF(OR(Table1[[#This Row],[Action]]="Buy",Table1[[#This Row],[Action]]="Withdraw"),-Table1[[#This Row],[Net Amount]],Table1[[#This Row],[Net Amount]])</f>
        <v>5254000</v>
      </c>
    </row>
    <row r="49" spans="1:13">
      <c r="A49" s="2">
        <v>45578</v>
      </c>
      <c r="B49" t="str">
        <f t="shared" si="0"/>
        <v>TX0048</v>
      </c>
      <c r="C49" s="3" t="s">
        <v>14</v>
      </c>
      <c r="D49" t="s">
        <v>7</v>
      </c>
      <c r="E49">
        <v>8</v>
      </c>
      <c r="F49" cm="1">
        <f t="array" ref="F49">_xlfn.IFS(Table1[[#This Row],[Action]]="Buy",Table1[[#This Row],[Lot ]],Table1[[#This Row],[Action]]="Sell",-Table1[[#This Row],[Lot ]],Table1[[#This Row],[Action]]="Dividend",0,TRUE,"")</f>
        <v>8</v>
      </c>
      <c r="G49" s="4">
        <v>1100</v>
      </c>
      <c r="H49" s="4" cm="1">
        <f t="array" ref="H49">IF(OR(Table1[[#This Row],[Stock Tickers]]="",Table1[[#This Row],[Action]]="Dividend"), "",IF(Table1[[#This Row],[Action]]="Buy",(SUMIFS($L$2:L49, $C$2:C49,Table1[[#This Row],[Stock Tickers]], $D$2:D49, "Buy") + Table1[[#This Row],[Amount]]) / ((SUMIFS($E$2:E49, $C$2:C49,Table1[[#This Row],[Stock Tickers]], $D$2:D49, "Buy") + Table1[[#This Row],[Lot ]])*100),LOOKUP(2, 1/($C$2:C49=Table1[[#This Row],[Stock Tickers]]), $G$2:G49)))</f>
        <v>1100.4452860714287</v>
      </c>
      <c r="I49" s="4"/>
      <c r="J49" s="5">
        <f>(Table1[[#This Row],[Lot ]]*100)*IF(Table1[[#This Row],[Action]]="Dividend",Table1[[#This Row],[Dividend per Share]],Table1[[#This Row],[Price]])</f>
        <v>880000</v>
      </c>
      <c r="K49" s="5">
        <f>(exchange_fee+broker_fee)*J49</f>
        <v>1701.04</v>
      </c>
      <c r="L49" s="5">
        <f>SUM(Table1[[#This Row],[Amount]]:Table1[[#This Row],[Total Fee]])</f>
        <v>881701.04</v>
      </c>
      <c r="M49" s="8">
        <f>IF(OR(Table1[[#This Row],[Action]]="Buy",Table1[[#This Row],[Action]]="Withdraw"),-Table1[[#This Row],[Net Amount]],Table1[[#This Row],[Net Amount]])</f>
        <v>-881701.04</v>
      </c>
    </row>
    <row r="50" spans="1:13">
      <c r="A50" s="2">
        <v>45583</v>
      </c>
      <c r="B50" t="str">
        <f t="shared" si="0"/>
        <v>TX0049</v>
      </c>
      <c r="C50" s="3" t="s">
        <v>16</v>
      </c>
      <c r="D50" t="s">
        <v>7</v>
      </c>
      <c r="E50">
        <v>22</v>
      </c>
      <c r="F50" cm="1">
        <f t="array" ref="F50">_xlfn.IFS(Table1[[#This Row],[Action]]="Buy",Table1[[#This Row],[Lot ]],Table1[[#This Row],[Action]]="Sell",-Table1[[#This Row],[Lot ]],Table1[[#This Row],[Action]]="Dividend",0,TRUE,"")</f>
        <v>22</v>
      </c>
      <c r="G50" s="4">
        <v>89</v>
      </c>
      <c r="H50" s="4" cm="1">
        <f t="array" ref="H50">IF(OR(Table1[[#This Row],[Stock Tickers]]="",Table1[[#This Row],[Action]]="Dividend"), "",IF(Table1[[#This Row],[Action]]="Buy",(SUMIFS($L$2:L50, $C$2:C50,Table1[[#This Row],[Stock Tickers]], $D$2:D50, "Buy") + Table1[[#This Row],[Amount]]) / ((SUMIFS($E$2:E50, $C$2:C50,Table1[[#This Row],[Stock Tickers]], $D$2:D50, "Buy") + Table1[[#This Row],[Lot ]])*100),LOOKUP(2, 1/($C$2:C50=Table1[[#This Row],[Stock Tickers]]), $G$2:G50)))</f>
        <v>115.50498920224719</v>
      </c>
      <c r="I50" s="4"/>
      <c r="J50" s="5">
        <f>(Table1[[#This Row],[Lot ]]*100)*IF(Table1[[#This Row],[Action]]="Dividend",Table1[[#This Row],[Dividend per Share]],Table1[[#This Row],[Price]])</f>
        <v>195800</v>
      </c>
      <c r="K50" s="5">
        <f>(exchange_fee+broker_fee)*J50</f>
        <v>378.48140000000001</v>
      </c>
      <c r="L50" s="5">
        <f>SUM(Table1[[#This Row],[Amount]]:Table1[[#This Row],[Total Fee]])</f>
        <v>196178.48139999999</v>
      </c>
      <c r="M50" s="8">
        <f>IF(OR(Table1[[#This Row],[Action]]="Buy",Table1[[#This Row],[Action]]="Withdraw"),-Table1[[#This Row],[Net Amount]],Table1[[#This Row],[Net Amount]])</f>
        <v>-196178.48139999999</v>
      </c>
    </row>
    <row r="51" spans="1:13">
      <c r="A51" s="2">
        <v>45585</v>
      </c>
      <c r="B51" t="str">
        <f t="shared" si="0"/>
        <v>TX0050</v>
      </c>
      <c r="C51" s="3" t="s">
        <v>11</v>
      </c>
      <c r="D51" t="s">
        <v>15</v>
      </c>
      <c r="E51">
        <v>6</v>
      </c>
      <c r="F51" cm="1">
        <f t="array" ref="F51">_xlfn.IFS(Table1[[#This Row],[Action]]="Buy",Table1[[#This Row],[Lot ]],Table1[[#This Row],[Action]]="Sell",-Table1[[#This Row],[Lot ]],Table1[[#This Row],[Action]]="Dividend",0,TRUE,"")</f>
        <v>-6</v>
      </c>
      <c r="G51" s="4">
        <v>6120</v>
      </c>
      <c r="H51" s="4" cm="1">
        <f t="array" ref="H51">IF(OR(Table1[[#This Row],[Stock Tickers]]="",Table1[[#This Row],[Action]]="Dividend"), "",IF(Table1[[#This Row],[Action]]="Buy",(SUMIFS($L$2:L51, $C$2:C51,Table1[[#This Row],[Stock Tickers]], $D$2:D51, "Buy") + Table1[[#This Row],[Amount]]) / ((SUMIFS($E$2:E51, $C$2:C51,Table1[[#This Row],[Stock Tickers]], $D$2:D51, "Buy") + Table1[[#This Row],[Lot ]])*100),LOOKUP(2, 1/($C$2:C51=Table1[[#This Row],[Stock Tickers]]), $G$2:G51)))</f>
        <v>6120</v>
      </c>
      <c r="I51" s="4"/>
      <c r="J51" s="5">
        <f>(Table1[[#This Row],[Lot ]]*100)*IF(Table1[[#This Row],[Action]]="Dividend",Table1[[#This Row],[Dividend per Share]],Table1[[#This Row],[Price]])</f>
        <v>3672000</v>
      </c>
      <c r="K51" s="5">
        <f>(exchange_fee+broker_fee)*J51</f>
        <v>7097.9760000000006</v>
      </c>
      <c r="L51" s="5">
        <f>SUM(Table1[[#This Row],[Amount]]:Table1[[#This Row],[Total Fee]])</f>
        <v>3679097.9759999998</v>
      </c>
      <c r="M51" s="8">
        <f>IF(OR(Table1[[#This Row],[Action]]="Buy",Table1[[#This Row],[Action]]="Withdraw"),-Table1[[#This Row],[Net Amount]],Table1[[#This Row],[Net Amount]])</f>
        <v>3679097.9759999998</v>
      </c>
    </row>
    <row r="52" spans="1:13">
      <c r="A52" s="2">
        <v>45590</v>
      </c>
      <c r="B52" t="str">
        <f t="shared" si="0"/>
        <v>TX0051</v>
      </c>
      <c r="C52" s="3"/>
      <c r="D52" t="s">
        <v>17</v>
      </c>
      <c r="F52" t="str" cm="1">
        <f t="array" ref="F52">_xlfn.IFS(Table1[[#This Row],[Action]]="Buy",Table1[[#This Row],[Lot ]],Table1[[#This Row],[Action]]="Sell",-Table1[[#This Row],[Lot ]],Table1[[#This Row],[Action]]="Dividend",0,TRUE,"")</f>
        <v/>
      </c>
      <c r="G52" s="4"/>
      <c r="H52" s="4" t="str" cm="1">
        <f t="array" ref="H52">IF(OR(Table1[[#This Row],[Stock Tickers]]="",Table1[[#This Row],[Action]]="Dividend"), "",IF(Table1[[#This Row],[Action]]="Buy",(SUMIFS($L$2:L52, $C$2:C52,Table1[[#This Row],[Stock Tickers]], $D$2:D52, "Buy") + Table1[[#This Row],[Amount]]) / ((SUMIFS($E$2:E52, $C$2:C52,Table1[[#This Row],[Stock Tickers]], $D$2:D52, "Buy") + Table1[[#This Row],[Lot ]])*100),LOOKUP(2, 1/($C$2:C52=Table1[[#This Row],[Stock Tickers]]), $G$2:G52)))</f>
        <v/>
      </c>
      <c r="I52" s="4"/>
      <c r="J52" s="5">
        <v>5000000</v>
      </c>
      <c r="K52" s="5"/>
      <c r="L52" s="5">
        <f>SUM(Table1[[#This Row],[Amount]]:Table1[[#This Row],[Total Fee]])</f>
        <v>5000000</v>
      </c>
      <c r="M52" s="8">
        <f>IF(OR(Table1[[#This Row],[Action]]="Buy",Table1[[#This Row],[Action]]="Withdraw"),-Table1[[#This Row],[Net Amount]],Table1[[#This Row],[Net Amount]])</f>
        <v>-5000000</v>
      </c>
    </row>
    <row r="53" spans="1:13">
      <c r="A53" s="2">
        <v>45600</v>
      </c>
      <c r="B53" t="str">
        <f t="shared" si="0"/>
        <v>TX0052</v>
      </c>
      <c r="C53" s="3" t="s">
        <v>8</v>
      </c>
      <c r="D53" t="s">
        <v>7</v>
      </c>
      <c r="E53">
        <v>9</v>
      </c>
      <c r="F53" cm="1">
        <f t="array" ref="F53">_xlfn.IFS(Table1[[#This Row],[Action]]="Buy",Table1[[#This Row],[Lot ]],Table1[[#This Row],[Action]]="Sell",-Table1[[#This Row],[Lot ]],Table1[[#This Row],[Action]]="Dividend",0,TRUE,"")</f>
        <v>9</v>
      </c>
      <c r="G53" s="4">
        <v>2760</v>
      </c>
      <c r="H53" s="4" cm="1">
        <f t="array" ref="H53">IF(OR(Table1[[#This Row],[Stock Tickers]]="",Table1[[#This Row],[Action]]="Dividend"), "",IF(Table1[[#This Row],[Action]]="Buy",(SUMIFS($L$2:L53, $C$2:C53,Table1[[#This Row],[Stock Tickers]], $D$2:D53, "Buy") + Table1[[#This Row],[Amount]]) / ((SUMIFS($E$2:E53, $C$2:C53,Table1[[#This Row],[Stock Tickers]], $D$2:D53, "Buy") + Table1[[#This Row],[Lot ]])*100),LOOKUP(2, 1/($C$2:C53=Table1[[#This Row],[Stock Tickers]]), $G$2:G53)))</f>
        <v>3019.729535145631</v>
      </c>
      <c r="I53" s="4"/>
      <c r="J53" s="5">
        <f>(Table1[[#This Row],[Lot ]]*100)*IF(Table1[[#This Row],[Action]]="Dividend",Table1[[#This Row],[Dividend per Share]],Table1[[#This Row],[Price]])</f>
        <v>2484000</v>
      </c>
      <c r="K53" s="5">
        <f>(exchange_fee+broker_fee)*J53</f>
        <v>4801.5720000000001</v>
      </c>
      <c r="L53" s="5">
        <f>SUM(Table1[[#This Row],[Amount]]:Table1[[#This Row],[Total Fee]])</f>
        <v>2488801.5720000002</v>
      </c>
      <c r="M53" s="8">
        <f>IF(OR(Table1[[#This Row],[Action]]="Buy",Table1[[#This Row],[Action]]="Withdraw"),-Table1[[#This Row],[Net Amount]],Table1[[#This Row],[Net Amount]])</f>
        <v>-2488801.5720000002</v>
      </c>
    </row>
    <row r="54" spans="1:13">
      <c r="A54" s="2">
        <v>45601</v>
      </c>
      <c r="B54" t="str">
        <f t="shared" si="0"/>
        <v>TX0053</v>
      </c>
      <c r="C54" s="3" t="s">
        <v>10</v>
      </c>
      <c r="D54" t="s">
        <v>7</v>
      </c>
      <c r="E54">
        <v>18</v>
      </c>
      <c r="F54" cm="1">
        <f t="array" ref="F54">_xlfn.IFS(Table1[[#This Row],[Action]]="Buy",Table1[[#This Row],[Lot ]],Table1[[#This Row],[Action]]="Sell",-Table1[[#This Row],[Lot ]],Table1[[#This Row],[Action]]="Dividend",0,TRUE,"")</f>
        <v>18</v>
      </c>
      <c r="G54" s="4">
        <v>7110</v>
      </c>
      <c r="H54" s="4" cm="1">
        <f t="array" ref="H54">IF(OR(Table1[[#This Row],[Stock Tickers]]="",Table1[[#This Row],[Action]]="Dividend"), "",IF(Table1[[#This Row],[Action]]="Buy",(SUMIFS($L$2:L54, $C$2:C54,Table1[[#This Row],[Stock Tickers]], $D$2:D54, "Buy") + Table1[[#This Row],[Amount]]) / ((SUMIFS($E$2:E54, $C$2:C54,Table1[[#This Row],[Stock Tickers]], $D$2:D54, "Buy") + Table1[[#This Row],[Lot ]])*100),LOOKUP(2, 1/($C$2:C54=Table1[[#This Row],[Stock Tickers]]), $G$2:G54)))</f>
        <v>6856.511050985916</v>
      </c>
      <c r="I54" s="4"/>
      <c r="J54" s="5">
        <f>(Table1[[#This Row],[Lot ]]*100)*IF(Table1[[#This Row],[Action]]="Dividend",Table1[[#This Row],[Dividend per Share]],Table1[[#This Row],[Price]])</f>
        <v>12798000</v>
      </c>
      <c r="K54" s="5">
        <f>(exchange_fee+broker_fee)*J54</f>
        <v>24738.534</v>
      </c>
      <c r="L54" s="5">
        <f>SUM(Table1[[#This Row],[Amount]]:Table1[[#This Row],[Total Fee]])</f>
        <v>12822738.534</v>
      </c>
      <c r="M54" s="8">
        <f>IF(OR(Table1[[#This Row],[Action]]="Buy",Table1[[#This Row],[Action]]="Withdraw"),-Table1[[#This Row],[Net Amount]],Table1[[#This Row],[Net Amount]])</f>
        <v>-12822738.534</v>
      </c>
    </row>
    <row r="55" spans="1:13">
      <c r="A55" s="2">
        <v>45607</v>
      </c>
      <c r="B55" t="str">
        <f t="shared" si="0"/>
        <v>TX0054</v>
      </c>
      <c r="C55" s="3" t="s">
        <v>9</v>
      </c>
      <c r="D55" t="s">
        <v>12</v>
      </c>
      <c r="E55">
        <v>190</v>
      </c>
      <c r="F55" cm="1">
        <f t="array" ref="F55">_xlfn.IFS(Table1[[#This Row],[Action]]="Buy",Table1[[#This Row],[Lot ]],Table1[[#This Row],[Action]]="Sell",-Table1[[#This Row],[Lot ]],Table1[[#This Row],[Action]]="Dividend",0,TRUE,"")</f>
        <v>0</v>
      </c>
      <c r="G55" s="4"/>
      <c r="H55" s="4" t="str" cm="1">
        <f t="array" ref="H55">IF(OR(Table1[[#This Row],[Stock Tickers]]="",Table1[[#This Row],[Action]]="Dividend"), "",IF(Table1[[#This Row],[Action]]="Buy",(SUMIFS($L$2:L55, $C$2:C55,Table1[[#This Row],[Stock Tickers]], $D$2:D55, "Buy") + Table1[[#This Row],[Amount]]) / ((SUMIFS($E$2:E55, $C$2:C55,Table1[[#This Row],[Stock Tickers]], $D$2:D55, "Buy") + Table1[[#This Row],[Lot ]])*100),LOOKUP(2, 1/($C$2:C55=Table1[[#This Row],[Stock Tickers]]), $G$2:G55)))</f>
        <v/>
      </c>
      <c r="I55" s="4">
        <v>1358</v>
      </c>
      <c r="J55" s="5">
        <f>(Table1[[#This Row],[Lot ]]*100)*IF(Table1[[#This Row],[Action]]="Dividend",Table1[[#This Row],[Dividend per Share]],Table1[[#This Row],[Price]])</f>
        <v>25802000</v>
      </c>
      <c r="K55" s="5"/>
      <c r="L55" s="5">
        <f>SUM(Table1[[#This Row],[Amount]]:Table1[[#This Row],[Total Fee]])</f>
        <v>25802000</v>
      </c>
      <c r="M55" s="8">
        <f>IF(OR(Table1[[#This Row],[Action]]="Buy",Table1[[#This Row],[Action]]="Withdraw"),-Table1[[#This Row],[Net Amount]],Table1[[#This Row],[Net Amount]])</f>
        <v>25802000</v>
      </c>
    </row>
    <row r="56" spans="1:13">
      <c r="A56" s="2">
        <v>45454</v>
      </c>
      <c r="B56" t="str">
        <f t="shared" si="0"/>
        <v>TX0055</v>
      </c>
      <c r="C56" s="3" t="s">
        <v>18</v>
      </c>
      <c r="D56" t="s">
        <v>7</v>
      </c>
      <c r="E56">
        <v>10</v>
      </c>
      <c r="F56" cm="1">
        <f t="array" ref="F56">_xlfn.IFS(Table1[[#This Row],[Action]]="Buy",Table1[[#This Row],[Lot ]],Table1[[#This Row],[Action]]="Sell",-Table1[[#This Row],[Lot ]],Table1[[#This Row],[Action]]="Dividend",0,TRUE,"")</f>
        <v>10</v>
      </c>
      <c r="G56" s="4">
        <v>6050</v>
      </c>
      <c r="H56" s="4" cm="1">
        <f t="array" ref="H56">IF(OR(Table1[[#This Row],[Stock Tickers]]="",Table1[[#This Row],[Action]]="Dividend"), "",IF(Table1[[#This Row],[Action]]="Buy",(SUMIFS($L$2:L56, $C$2:C56,Table1[[#This Row],[Stock Tickers]], $D$2:D56, "Buy") + Table1[[#This Row],[Amount]]) / ((SUMIFS($E$2:E56, $C$2:C56,Table1[[#This Row],[Stock Tickers]], $D$2:D56, "Buy") + Table1[[#This Row],[Lot ]])*100),LOOKUP(2, 1/($C$2:C56=Table1[[#This Row],[Stock Tickers]]), $G$2:G56)))</f>
        <v>6055.8473250000006</v>
      </c>
      <c r="I56" s="4"/>
      <c r="J56" s="5">
        <f>(Table1[[#This Row],[Lot ]]*100)*IF(Table1[[#This Row],[Action]]="Dividend",Table1[[#This Row],[Dividend per Share]],Table1[[#This Row],[Price]])</f>
        <v>6050000</v>
      </c>
      <c r="K56" s="5">
        <f>(exchange_fee+broker_fee)*J56</f>
        <v>11694.65</v>
      </c>
      <c r="L56" s="5">
        <f>SUM(Table1[[#This Row],[Amount]]:Table1[[#This Row],[Total Fee]])</f>
        <v>6061694.6500000004</v>
      </c>
      <c r="M56" s="8">
        <f>IF(OR(Table1[[#This Row],[Action]]="Buy",Table1[[#This Row],[Action]]="Withdraw"),-Table1[[#This Row],[Net Amount]],Table1[[#This Row],[Net Amount]])</f>
        <v>-6061694.6500000004</v>
      </c>
    </row>
    <row r="57" spans="1:13">
      <c r="A57" s="2">
        <v>45610</v>
      </c>
      <c r="B57" t="str">
        <f t="shared" si="0"/>
        <v>TX0056</v>
      </c>
      <c r="C57" s="3" t="s">
        <v>6</v>
      </c>
      <c r="D57" t="s">
        <v>7</v>
      </c>
      <c r="E57">
        <v>13</v>
      </c>
      <c r="F57" cm="1">
        <f t="array" ref="F57">_xlfn.IFS(Table1[[#This Row],[Action]]="Buy",Table1[[#This Row],[Lot ]],Table1[[#This Row],[Action]]="Sell",-Table1[[#This Row],[Lot ]],Table1[[#This Row],[Action]]="Dividend",0,TRUE,"")</f>
        <v>13</v>
      </c>
      <c r="G57" s="4">
        <v>3670</v>
      </c>
      <c r="H57" s="4" cm="1">
        <f t="array" ref="H57">IF(OR(Table1[[#This Row],[Stock Tickers]]="",Table1[[#This Row],[Action]]="Dividend"), "",IF(Table1[[#This Row],[Action]]="Buy",(SUMIFS($L$2:L57, $C$2:C57,Table1[[#This Row],[Stock Tickers]], $D$2:D57, "Buy") + Table1[[#This Row],[Amount]]) / ((SUMIFS($E$2:E57, $C$2:C57,Table1[[#This Row],[Stock Tickers]], $D$2:D57, "Buy") + Table1[[#This Row],[Lot ]])*100),LOOKUP(2, 1/($C$2:C57=Table1[[#This Row],[Stock Tickers]]), $G$2:G57)))</f>
        <v>3610.5888845454542</v>
      </c>
      <c r="I57" s="4"/>
      <c r="J57" s="5">
        <f>(Table1[[#This Row],[Lot ]]*100)*IF(Table1[[#This Row],[Action]]="Dividend",Table1[[#This Row],[Dividend per Share]],Table1[[#This Row],[Price]])</f>
        <v>4771000</v>
      </c>
      <c r="K57" s="5">
        <f>(exchange_fee+broker_fee)*J57</f>
        <v>9222.3430000000008</v>
      </c>
      <c r="L57" s="5">
        <f>SUM(Table1[[#This Row],[Amount]]:Table1[[#This Row],[Total Fee]])</f>
        <v>4780222.3430000003</v>
      </c>
      <c r="M57" s="8">
        <f>IF(OR(Table1[[#This Row],[Action]]="Buy",Table1[[#This Row],[Action]]="Withdraw"),-Table1[[#This Row],[Net Amount]],Table1[[#This Row],[Net Amount]])</f>
        <v>-4780222.3430000003</v>
      </c>
    </row>
    <row r="58" spans="1:13">
      <c r="A58" s="2">
        <v>45619</v>
      </c>
      <c r="B58" t="str">
        <f t="shared" si="0"/>
        <v>TX0057</v>
      </c>
      <c r="C58" s="3" t="s">
        <v>16</v>
      </c>
      <c r="D58" t="s">
        <v>7</v>
      </c>
      <c r="E58">
        <v>35</v>
      </c>
      <c r="F58" cm="1">
        <f t="array" ref="F58">_xlfn.IFS(Table1[[#This Row],[Action]]="Buy",Table1[[#This Row],[Lot ]],Table1[[#This Row],[Action]]="Sell",-Table1[[#This Row],[Lot ]],Table1[[#This Row],[Action]]="Dividend",0,TRUE,"")</f>
        <v>35</v>
      </c>
      <c r="G58" s="4">
        <v>76</v>
      </c>
      <c r="H58" s="4" cm="1">
        <f t="array" ref="H58">IF(OR(Table1[[#This Row],[Stock Tickers]]="",Table1[[#This Row],[Action]]="Dividend"), "",IF(Table1[[#This Row],[Action]]="Buy",(SUMIFS($L$2:L58, $C$2:C58,Table1[[#This Row],[Stock Tickers]], $D$2:D58, "Buy") + Table1[[#This Row],[Amount]]) / ((SUMIFS($E$2:E58, $C$2:C58,Table1[[#This Row],[Stock Tickers]], $D$2:D58, "Buy") + Table1[[#This Row],[Lot ]])*100),LOOKUP(2, 1/($C$2:C58=Table1[[#This Row],[Stock Tickers]]), $G$2:G58)))</f>
        <v>105.87181353097344</v>
      </c>
      <c r="I58" s="4"/>
      <c r="J58" s="5">
        <f>(Table1[[#This Row],[Lot ]]*100)*IF(Table1[[#This Row],[Action]]="Dividend",Table1[[#This Row],[Dividend per Share]],Table1[[#This Row],[Price]])</f>
        <v>266000</v>
      </c>
      <c r="K58" s="5">
        <f>(exchange_fee+broker_fee)*J58</f>
        <v>514.178</v>
      </c>
      <c r="L58" s="5">
        <f>SUM(Table1[[#This Row],[Amount]]:Table1[[#This Row],[Total Fee]])</f>
        <v>266514.17800000001</v>
      </c>
      <c r="M58" s="8">
        <f>IF(OR(Table1[[#This Row],[Action]]="Buy",Table1[[#This Row],[Action]]="Withdraw"),-Table1[[#This Row],[Net Amount]],Table1[[#This Row],[Net Amount]])</f>
        <v>-266514.17800000001</v>
      </c>
    </row>
    <row r="59" spans="1:13">
      <c r="A59" s="2">
        <v>45623</v>
      </c>
      <c r="B59" t="str">
        <f t="shared" si="0"/>
        <v>TX0058</v>
      </c>
      <c r="C59" s="3" t="s">
        <v>11</v>
      </c>
      <c r="D59" t="s">
        <v>7</v>
      </c>
      <c r="E59">
        <v>11</v>
      </c>
      <c r="F59" cm="1">
        <f t="array" ref="F59">_xlfn.IFS(Table1[[#This Row],[Action]]="Buy",Table1[[#This Row],[Lot ]],Table1[[#This Row],[Action]]="Sell",-Table1[[#This Row],[Lot ]],Table1[[#This Row],[Action]]="Dividend",0,TRUE,"")</f>
        <v>11</v>
      </c>
      <c r="G59" s="4">
        <v>5680</v>
      </c>
      <c r="H59" s="4" cm="1">
        <f t="array" ref="H59">IF(OR(Table1[[#This Row],[Stock Tickers]]="",Table1[[#This Row],[Action]]="Dividend"), "",IF(Table1[[#This Row],[Action]]="Buy",(SUMIFS($L$2:L59, $C$2:C59,Table1[[#This Row],[Stock Tickers]], $D$2:D59, "Buy") + Table1[[#This Row],[Amount]]) / ((SUMIFS($E$2:E59, $C$2:C59,Table1[[#This Row],[Stock Tickers]], $D$2:D59, "Buy") + Table1[[#This Row],[Lot ]])*100),LOOKUP(2, 1/($C$2:C59=Table1[[#This Row],[Stock Tickers]]), $G$2:G59)))</f>
        <v>5110.5273147899161</v>
      </c>
      <c r="I59" s="4"/>
      <c r="J59" s="5">
        <f>(Table1[[#This Row],[Lot ]]*100)*IF(Table1[[#This Row],[Action]]="Dividend",Table1[[#This Row],[Dividend per Share]],Table1[[#This Row],[Price]])</f>
        <v>6248000</v>
      </c>
      <c r="K59" s="5">
        <f>(exchange_fee+broker_fee)*J59</f>
        <v>12077.384</v>
      </c>
      <c r="L59" s="5">
        <f>SUM(Table1[[#This Row],[Amount]]:Table1[[#This Row],[Total Fee]])</f>
        <v>6260077.3839999996</v>
      </c>
      <c r="M59" s="8">
        <f>IF(OR(Table1[[#This Row],[Action]]="Buy",Table1[[#This Row],[Action]]="Withdraw"),-Table1[[#This Row],[Net Amount]],Table1[[#This Row],[Net Amount]])</f>
        <v>-6260077.3839999996</v>
      </c>
    </row>
    <row r="60" spans="1:13">
      <c r="A60" s="2">
        <v>45627</v>
      </c>
      <c r="B60" t="str">
        <f t="shared" si="0"/>
        <v>TX0059</v>
      </c>
      <c r="C60" s="3" t="s">
        <v>8</v>
      </c>
      <c r="D60" t="s">
        <v>15</v>
      </c>
      <c r="E60">
        <v>4</v>
      </c>
      <c r="F60" cm="1">
        <f t="array" ref="F60">_xlfn.IFS(Table1[[#This Row],[Action]]="Buy",Table1[[#This Row],[Lot ]],Table1[[#This Row],[Action]]="Sell",-Table1[[#This Row],[Lot ]],Table1[[#This Row],[Action]]="Dividend",0,TRUE,"")</f>
        <v>-4</v>
      </c>
      <c r="G60" s="4">
        <v>4190</v>
      </c>
      <c r="H60" s="4" cm="1">
        <f t="array" ref="H60">IF(OR(Table1[[#This Row],[Stock Tickers]]="",Table1[[#This Row],[Action]]="Dividend"), "",IF(Table1[[#This Row],[Action]]="Buy",(SUMIFS($L$2:L60, $C$2:C60,Table1[[#This Row],[Stock Tickers]], $D$2:D60, "Buy") + Table1[[#This Row],[Amount]]) / ((SUMIFS($E$2:E60, $C$2:C60,Table1[[#This Row],[Stock Tickers]], $D$2:D60, "Buy") + Table1[[#This Row],[Lot ]])*100),LOOKUP(2, 1/($C$2:C60=Table1[[#This Row],[Stock Tickers]]), $G$2:G60)))</f>
        <v>4190</v>
      </c>
      <c r="I60" s="4"/>
      <c r="J60" s="5">
        <f>(Table1[[#This Row],[Lot ]]*100)*IF(Table1[[#This Row],[Action]]="Dividend",Table1[[#This Row],[Dividend per Share]],Table1[[#This Row],[Price]])</f>
        <v>1676000</v>
      </c>
      <c r="K60" s="5">
        <f>(exchange_fee+broker_fee)*J60</f>
        <v>3239.7080000000001</v>
      </c>
      <c r="L60" s="5">
        <f>SUM(Table1[[#This Row],[Amount]]:Table1[[#This Row],[Total Fee]])</f>
        <v>1679239.7080000001</v>
      </c>
      <c r="M60" s="8">
        <f>IF(OR(Table1[[#This Row],[Action]]="Buy",Table1[[#This Row],[Action]]="Withdraw"),-Table1[[#This Row],[Net Amount]],Table1[[#This Row],[Net Amount]])</f>
        <v>1679239.7080000001</v>
      </c>
    </row>
    <row r="61" spans="1:13">
      <c r="A61" s="2">
        <v>45630</v>
      </c>
      <c r="B61" t="str">
        <f t="shared" si="0"/>
        <v>TX0060</v>
      </c>
      <c r="C61" s="3"/>
      <c r="D61" t="s">
        <v>5</v>
      </c>
      <c r="F61" t="str" cm="1">
        <f t="array" ref="F61">_xlfn.IFS(Table1[[#This Row],[Action]]="Buy",Table1[[#This Row],[Lot ]],Table1[[#This Row],[Action]]="Sell",-Table1[[#This Row],[Lot ]],Table1[[#This Row],[Action]]="Dividend",0,TRUE,"")</f>
        <v/>
      </c>
      <c r="G61" s="4"/>
      <c r="H61" s="4" t="str" cm="1">
        <f t="array" ref="H61">IF(OR(Table1[[#This Row],[Stock Tickers]]="",Table1[[#This Row],[Action]]="Dividend"), "",IF(Table1[[#This Row],[Action]]="Buy",(SUMIFS($L$2:L61, $C$2:C61,Table1[[#This Row],[Stock Tickers]], $D$2:D61, "Buy") + Table1[[#This Row],[Amount]]) / ((SUMIFS($E$2:E61, $C$2:C61,Table1[[#This Row],[Stock Tickers]], $D$2:D61, "Buy") + Table1[[#This Row],[Lot ]])*100),LOOKUP(2, 1/($C$2:C61=Table1[[#This Row],[Stock Tickers]]), $G$2:G61)))</f>
        <v/>
      </c>
      <c r="I61" s="4"/>
      <c r="J61" s="5">
        <v>60000000</v>
      </c>
      <c r="K61" s="5"/>
      <c r="L61" s="5">
        <f>SUM(Table1[[#This Row],[Amount]]:Table1[[#This Row],[Total Fee]])</f>
        <v>60000000</v>
      </c>
      <c r="M61" s="8">
        <f>IF(OR(Table1[[#This Row],[Action]]="Buy",Table1[[#This Row],[Action]]="Withdraw"),-Table1[[#This Row],[Net Amount]],Table1[[#This Row],[Net Amount]])</f>
        <v>60000000</v>
      </c>
    </row>
    <row r="62" spans="1:13">
      <c r="A62" s="2">
        <v>45638</v>
      </c>
      <c r="B62" t="str">
        <f t="shared" si="0"/>
        <v>TX0061</v>
      </c>
      <c r="C62" s="3" t="s">
        <v>14</v>
      </c>
      <c r="D62" t="s">
        <v>7</v>
      </c>
      <c r="E62">
        <v>36</v>
      </c>
      <c r="F62" cm="1">
        <f t="array" ref="F62">_xlfn.IFS(Table1[[#This Row],[Action]]="Buy",Table1[[#This Row],[Lot ]],Table1[[#This Row],[Action]]="Sell",-Table1[[#This Row],[Lot ]],Table1[[#This Row],[Action]]="Dividend",0,TRUE,"")</f>
        <v>36</v>
      </c>
      <c r="G62" s="4">
        <v>9840</v>
      </c>
      <c r="H62" s="4" cm="1">
        <f t="array" ref="H62">IF(OR(Table1[[#This Row],[Stock Tickers]]="",Table1[[#This Row],[Action]]="Dividend"), "",IF(Table1[[#This Row],[Action]]="Buy",(SUMIFS($L$2:L62, $C$2:C62,Table1[[#This Row],[Stock Tickers]], $D$2:D62, "Buy") + Table1[[#This Row],[Amount]]) / ((SUMIFS($E$2:E62, $C$2:C62,Table1[[#This Row],[Stock Tickers]], $D$2:D62, "Buy") + Table1[[#This Row],[Lot ]])*100),LOOKUP(2, 1/($C$2:C62=Table1[[#This Row],[Stock Tickers]]), $G$2:G62)))</f>
        <v>7947.5784122826099</v>
      </c>
      <c r="I62" s="4"/>
      <c r="J62" s="5">
        <f>(Table1[[#This Row],[Lot ]]*100)*IF(Table1[[#This Row],[Action]]="Dividend",Table1[[#This Row],[Dividend per Share]],Table1[[#This Row],[Price]])</f>
        <v>35424000</v>
      </c>
      <c r="K62" s="5">
        <f>(exchange_fee+broker_fee)*J62</f>
        <v>68474.592000000004</v>
      </c>
      <c r="L62" s="5">
        <f>SUM(Table1[[#This Row],[Amount]]:Table1[[#This Row],[Total Fee]])</f>
        <v>35492474.592</v>
      </c>
      <c r="M62" s="8">
        <f>IF(OR(Table1[[#This Row],[Action]]="Buy",Table1[[#This Row],[Action]]="Withdraw"),-Table1[[#This Row],[Net Amount]],Table1[[#This Row],[Net Amount]])</f>
        <v>-35492474.592</v>
      </c>
    </row>
    <row r="63" spans="1:13">
      <c r="A63" s="2">
        <v>45643</v>
      </c>
      <c r="B63" t="str">
        <f t="shared" si="0"/>
        <v>TX0062</v>
      </c>
      <c r="C63" s="3" t="s">
        <v>10</v>
      </c>
      <c r="D63" t="s">
        <v>12</v>
      </c>
      <c r="E63">
        <v>58</v>
      </c>
      <c r="F63" cm="1">
        <f t="array" ref="F63">_xlfn.IFS(Table1[[#This Row],[Action]]="Buy",Table1[[#This Row],[Lot ]],Table1[[#This Row],[Action]]="Sell",-Table1[[#This Row],[Lot ]],Table1[[#This Row],[Action]]="Dividend",0,TRUE,"")</f>
        <v>0</v>
      </c>
      <c r="G63" s="4"/>
      <c r="H63" s="4" t="str" cm="1">
        <f t="array" ref="H63">IF(OR(Table1[[#This Row],[Stock Tickers]]="",Table1[[#This Row],[Action]]="Dividend"), "",IF(Table1[[#This Row],[Action]]="Buy",(SUMIFS($L$2:L63, $C$2:C63,Table1[[#This Row],[Stock Tickers]], $D$2:D63, "Buy") + Table1[[#This Row],[Amount]]) / ((SUMIFS($E$2:E63, $C$2:C63,Table1[[#This Row],[Stock Tickers]], $D$2:D63, "Buy") + Table1[[#This Row],[Lot ]])*100),LOOKUP(2, 1/($C$2:C63=Table1[[#This Row],[Stock Tickers]]), $G$2:G63)))</f>
        <v/>
      </c>
      <c r="I63" s="4">
        <v>227</v>
      </c>
      <c r="J63" s="5">
        <f>(Table1[[#This Row],[Lot ]]*100)*IF(Table1[[#This Row],[Action]]="Dividend",Table1[[#This Row],[Dividend per Share]],Table1[[#This Row],[Price]])</f>
        <v>1316600</v>
      </c>
      <c r="K63" s="5"/>
      <c r="L63" s="5">
        <f>SUM(Table1[[#This Row],[Amount]]:Table1[[#This Row],[Total Fee]])</f>
        <v>1316600</v>
      </c>
      <c r="M63" s="8">
        <f>IF(OR(Table1[[#This Row],[Action]]="Buy",Table1[[#This Row],[Action]]="Withdraw"),-Table1[[#This Row],[Net Amount]],Table1[[#This Row],[Net Amount]])</f>
        <v>1316600</v>
      </c>
    </row>
    <row r="64" spans="1:13">
      <c r="A64" s="2">
        <v>45646</v>
      </c>
      <c r="B64" t="str">
        <f t="shared" si="0"/>
        <v>TX0063</v>
      </c>
      <c r="C64" s="3" t="s">
        <v>9</v>
      </c>
      <c r="D64" t="s">
        <v>7</v>
      </c>
      <c r="E64">
        <v>37</v>
      </c>
      <c r="F64" cm="1">
        <f t="array" ref="F64">_xlfn.IFS(Table1[[#This Row],[Action]]="Buy",Table1[[#This Row],[Lot ]],Table1[[#This Row],[Action]]="Sell",-Table1[[#This Row],[Lot ]],Table1[[#This Row],[Action]]="Dividend",0,TRUE,"")</f>
        <v>37</v>
      </c>
      <c r="G64" s="4">
        <v>2120</v>
      </c>
      <c r="H64" s="4" cm="1">
        <f t="array" ref="H64">IF(OR(Table1[[#This Row],[Stock Tickers]]="",Table1[[#This Row],[Action]]="Dividend"), "",IF(Table1[[#This Row],[Action]]="Buy",(SUMIFS($L$2:L64, $C$2:C64,Table1[[#This Row],[Stock Tickers]], $D$2:D64, "Buy") + Table1[[#This Row],[Amount]]) / ((SUMIFS($E$2:E64, $C$2:C64,Table1[[#This Row],[Stock Tickers]], $D$2:D64, "Buy") + Table1[[#This Row],[Lot ]])*100),LOOKUP(2, 1/($C$2:C64=Table1[[#This Row],[Stock Tickers]]), $G$2:G64)))</f>
        <v>2252.7541945901635</v>
      </c>
      <c r="I64" s="4"/>
      <c r="J64" s="5">
        <f>(Table1[[#This Row],[Lot ]]*100)*IF(Table1[[#This Row],[Action]]="Dividend",Table1[[#This Row],[Dividend per Share]],Table1[[#This Row],[Price]])</f>
        <v>7844000</v>
      </c>
      <c r="K64" s="5">
        <f t="shared" ref="K64:K69" si="1">(exchange_fee+broker_fee)*J64</f>
        <v>15162.452000000001</v>
      </c>
      <c r="L64" s="5">
        <f>SUM(Table1[[#This Row],[Amount]]:Table1[[#This Row],[Total Fee]])</f>
        <v>7859162.4519999996</v>
      </c>
      <c r="M64" s="8">
        <f>IF(OR(Table1[[#This Row],[Action]]="Buy",Table1[[#This Row],[Action]]="Withdraw"),-Table1[[#This Row],[Net Amount]],Table1[[#This Row],[Net Amount]])</f>
        <v>-7859162.4519999996</v>
      </c>
    </row>
    <row r="65" spans="1:15">
      <c r="A65" s="2">
        <v>45663</v>
      </c>
      <c r="B65" t="str">
        <f t="shared" si="0"/>
        <v>TX0064</v>
      </c>
      <c r="C65" s="3" t="s">
        <v>18</v>
      </c>
      <c r="D65" t="s">
        <v>15</v>
      </c>
      <c r="E65">
        <v>10</v>
      </c>
      <c r="F65" cm="1">
        <f t="array" ref="F65">_xlfn.IFS(Table1[[#This Row],[Action]]="Buy",Table1[[#This Row],[Lot ]],Table1[[#This Row],[Action]]="Sell",-Table1[[#This Row],[Lot ]],Table1[[#This Row],[Action]]="Dividend",0,TRUE,"")</f>
        <v>-10</v>
      </c>
      <c r="G65" s="4">
        <v>9475</v>
      </c>
      <c r="H65" s="4" cm="1">
        <f t="array" ref="H65">IF(OR(Table1[[#This Row],[Stock Tickers]]="",Table1[[#This Row],[Action]]="Dividend"), "",IF(Table1[[#This Row],[Action]]="Buy",(SUMIFS($L$2:L65, $C$2:C65,Table1[[#This Row],[Stock Tickers]], $D$2:D65, "Buy") + Table1[[#This Row],[Amount]]) / ((SUMIFS($E$2:E65, $C$2:C65,Table1[[#This Row],[Stock Tickers]], $D$2:D65, "Buy") + Table1[[#This Row],[Lot ]])*100),LOOKUP(2, 1/($C$2:C65=Table1[[#This Row],[Stock Tickers]]), $G$2:G65)))</f>
        <v>9475</v>
      </c>
      <c r="I65" s="4"/>
      <c r="J65" s="5">
        <f>(Table1[[#This Row],[Lot ]]*100)*IF(Table1[[#This Row],[Action]]="Dividend",Table1[[#This Row],[Dividend per Share]],Table1[[#This Row],[Price]])</f>
        <v>9475000</v>
      </c>
      <c r="K65" s="5">
        <f t="shared" si="1"/>
        <v>18315.174999999999</v>
      </c>
      <c r="L65" s="5">
        <f>SUM(Table1[[#This Row],[Amount]]:Table1[[#This Row],[Total Fee]])</f>
        <v>9493315.1750000007</v>
      </c>
      <c r="M65" s="8">
        <f>IF(OR(Table1[[#This Row],[Action]]="Buy",Table1[[#This Row],[Action]]="Withdraw"),-Table1[[#This Row],[Net Amount]],Table1[[#This Row],[Net Amount]])</f>
        <v>9493315.1750000007</v>
      </c>
    </row>
    <row r="66" spans="1:15">
      <c r="A66" s="2">
        <v>45674</v>
      </c>
      <c r="B66" t="str">
        <f t="shared" ref="B66:B129" si="2">"TX"&amp;TEXT(ROW()-1,"0000")</f>
        <v>TX0065</v>
      </c>
      <c r="C66" s="3" t="s">
        <v>6</v>
      </c>
      <c r="D66" t="s">
        <v>7</v>
      </c>
      <c r="E66">
        <v>19</v>
      </c>
      <c r="F66" cm="1">
        <f t="array" ref="F66">_xlfn.IFS(Table1[[#This Row],[Action]]="Buy",Table1[[#This Row],[Lot ]],Table1[[#This Row],[Action]]="Sell",-Table1[[#This Row],[Lot ]],Table1[[#This Row],[Action]]="Dividend",0,TRUE,"")</f>
        <v>19</v>
      </c>
      <c r="G66" s="4">
        <v>4190</v>
      </c>
      <c r="H66" s="4" cm="1">
        <f t="array" ref="H66">IF(OR(Table1[[#This Row],[Stock Tickers]]="",Table1[[#This Row],[Action]]="Dividend"), "",IF(Table1[[#This Row],[Action]]="Buy",(SUMIFS($L$2:L66, $C$2:C66,Table1[[#This Row],[Stock Tickers]], $D$2:D66, "Buy") + Table1[[#This Row],[Amount]]) / ((SUMIFS($E$2:E66, $C$2:C66,Table1[[#This Row],[Stock Tickers]], $D$2:D66, "Buy") + Table1[[#This Row],[Lot ]])*100),LOOKUP(2, 1/($C$2:C66=Table1[[#This Row],[Stock Tickers]]), $G$2:G66)))</f>
        <v>3730.137286871508</v>
      </c>
      <c r="I66" s="4"/>
      <c r="J66" s="5">
        <f>(Table1[[#This Row],[Lot ]]*100)*IF(Table1[[#This Row],[Action]]="Dividend",Table1[[#This Row],[Dividend per Share]],Table1[[#This Row],[Price]])</f>
        <v>7961000</v>
      </c>
      <c r="K66" s="5">
        <f t="shared" si="1"/>
        <v>15388.613000000001</v>
      </c>
      <c r="L66" s="5">
        <f>SUM(Table1[[#This Row],[Amount]]:Table1[[#This Row],[Total Fee]])</f>
        <v>7976388.6129999999</v>
      </c>
      <c r="M66" s="8">
        <f>IF(OR(Table1[[#This Row],[Action]]="Buy",Table1[[#This Row],[Action]]="Withdraw"),-Table1[[#This Row],[Net Amount]],Table1[[#This Row],[Net Amount]])</f>
        <v>-7976388.6129999999</v>
      </c>
      <c r="O66" s="3"/>
    </row>
    <row r="67" spans="1:15">
      <c r="A67" s="2">
        <v>45679</v>
      </c>
      <c r="B67" t="str">
        <f t="shared" si="2"/>
        <v>TX0066</v>
      </c>
      <c r="C67" s="3" t="s">
        <v>8</v>
      </c>
      <c r="D67" t="s">
        <v>7</v>
      </c>
      <c r="E67">
        <v>12</v>
      </c>
      <c r="F67" cm="1">
        <f t="array" ref="F67">_xlfn.IFS(Table1[[#This Row],[Action]]="Buy",Table1[[#This Row],[Lot ]],Table1[[#This Row],[Action]]="Sell",-Table1[[#This Row],[Lot ]],Table1[[#This Row],[Action]]="Dividend",0,TRUE,"")</f>
        <v>12</v>
      </c>
      <c r="G67" s="4">
        <v>2330</v>
      </c>
      <c r="H67" s="4" cm="1">
        <f t="array" ref="H67">IF(OR(Table1[[#This Row],[Stock Tickers]]="",Table1[[#This Row],[Action]]="Dividend"), "",IF(Table1[[#This Row],[Action]]="Buy",(SUMIFS($L$2:L67, $C$2:C67,Table1[[#This Row],[Stock Tickers]], $D$2:D67, "Buy") + Table1[[#This Row],[Amount]]) / ((SUMIFS($E$2:E67, $C$2:C67,Table1[[#This Row],[Stock Tickers]], $D$2:D67, "Buy") + Table1[[#This Row],[Lot ]])*100),LOOKUP(2, 1/($C$2:C67=Table1[[#This Row],[Stock Tickers]]), $G$2:G67)))</f>
        <v>2899.7134644067801</v>
      </c>
      <c r="I67" s="4"/>
      <c r="J67" s="5">
        <f>(Table1[[#This Row],[Lot ]]*100)*IF(Table1[[#This Row],[Action]]="Dividend",Table1[[#This Row],[Dividend per Share]],Table1[[#This Row],[Price]])</f>
        <v>2796000</v>
      </c>
      <c r="K67" s="5">
        <f t="shared" si="1"/>
        <v>5404.6679999999997</v>
      </c>
      <c r="L67" s="5">
        <f>SUM(Table1[[#This Row],[Amount]]:Table1[[#This Row],[Total Fee]])</f>
        <v>2801404.6680000001</v>
      </c>
      <c r="M67" s="8">
        <f>IF(OR(Table1[[#This Row],[Action]]="Buy",Table1[[#This Row],[Action]]="Withdraw"),-Table1[[#This Row],[Net Amount]],Table1[[#This Row],[Net Amount]])</f>
        <v>-2801404.6680000001</v>
      </c>
    </row>
    <row r="68" spans="1:15">
      <c r="A68" s="2">
        <v>45687</v>
      </c>
      <c r="B68" t="str">
        <f t="shared" si="2"/>
        <v>TX0067</v>
      </c>
      <c r="C68" s="3" t="s">
        <v>16</v>
      </c>
      <c r="D68" t="s">
        <v>15</v>
      </c>
      <c r="E68">
        <v>107</v>
      </c>
      <c r="F68" cm="1">
        <f t="array" ref="F68">_xlfn.IFS(Table1[[#This Row],[Action]]="Buy",Table1[[#This Row],[Lot ]],Table1[[#This Row],[Action]]="Sell",-Table1[[#This Row],[Lot ]],Table1[[#This Row],[Action]]="Dividend",0,TRUE,"")</f>
        <v>-107</v>
      </c>
      <c r="G68" s="4">
        <v>141</v>
      </c>
      <c r="H68" s="4" cm="1">
        <f t="array" ref="H68">IF(OR(Table1[[#This Row],[Stock Tickers]]="",Table1[[#This Row],[Action]]="Dividend"), "",IF(Table1[[#This Row],[Action]]="Buy",(SUMIFS($L$2:L68, $C$2:C68,Table1[[#This Row],[Stock Tickers]], $D$2:D68, "Buy") + Table1[[#This Row],[Amount]]) / ((SUMIFS($E$2:E68, $C$2:C68,Table1[[#This Row],[Stock Tickers]], $D$2:D68, "Buy") + Table1[[#This Row],[Lot ]])*100),LOOKUP(2, 1/($C$2:C68=Table1[[#This Row],[Stock Tickers]]), $G$2:G68)))</f>
        <v>141</v>
      </c>
      <c r="I68" s="4"/>
      <c r="J68" s="5">
        <f>(Table1[[#This Row],[Lot ]]*100)*IF(Table1[[#This Row],[Action]]="Dividend",Table1[[#This Row],[Dividend per Share]],Table1[[#This Row],[Price]])</f>
        <v>1508700</v>
      </c>
      <c r="K68" s="5">
        <f t="shared" si="1"/>
        <v>2916.3171000000002</v>
      </c>
      <c r="L68" s="5">
        <f>SUM(Table1[[#This Row],[Amount]]:Table1[[#This Row],[Total Fee]])</f>
        <v>1511616.3171000001</v>
      </c>
      <c r="M68" s="8">
        <f>IF(OR(Table1[[#This Row],[Action]]="Buy",Table1[[#This Row],[Action]]="Withdraw"),-Table1[[#This Row],[Net Amount]],Table1[[#This Row],[Net Amount]])</f>
        <v>1511616.3171000001</v>
      </c>
    </row>
    <row r="69" spans="1:15">
      <c r="A69" s="2">
        <v>45691</v>
      </c>
      <c r="B69" t="str">
        <f t="shared" si="2"/>
        <v>TX0068</v>
      </c>
      <c r="C69" s="3" t="s">
        <v>11</v>
      </c>
      <c r="D69" t="s">
        <v>7</v>
      </c>
      <c r="E69">
        <v>9</v>
      </c>
      <c r="F69" cm="1">
        <f t="array" ref="F69">_xlfn.IFS(Table1[[#This Row],[Action]]="Buy",Table1[[#This Row],[Lot ]],Table1[[#This Row],[Action]]="Sell",-Table1[[#This Row],[Lot ]],Table1[[#This Row],[Action]]="Dividend",0,TRUE,"")</f>
        <v>9</v>
      </c>
      <c r="G69" s="4">
        <v>4720</v>
      </c>
      <c r="H69" s="4" cm="1">
        <f t="array" ref="H69">IF(OR(Table1[[#This Row],[Stock Tickers]]="",Table1[[#This Row],[Action]]="Dividend"), "",IF(Table1[[#This Row],[Action]]="Buy",(SUMIFS($L$2:L69, $C$2:C69,Table1[[#This Row],[Stock Tickers]], $D$2:D69, "Buy") + Table1[[#This Row],[Amount]]) / ((SUMIFS($E$2:E69, $C$2:C69,Table1[[#This Row],[Stock Tickers]], $D$2:D69, "Buy") + Table1[[#This Row],[Lot ]])*100),LOOKUP(2, 1/($C$2:C69=Table1[[#This Row],[Stock Tickers]]), $G$2:G69)))</f>
        <v>5005.6735261904769</v>
      </c>
      <c r="I69" s="4"/>
      <c r="J69" s="5">
        <f>(Table1[[#This Row],[Lot ]]*100)*IF(Table1[[#This Row],[Action]]="Dividend",Table1[[#This Row],[Dividend per Share]],Table1[[#This Row],[Price]])</f>
        <v>4248000</v>
      </c>
      <c r="K69" s="5">
        <f t="shared" si="1"/>
        <v>8211.384</v>
      </c>
      <c r="L69" s="5">
        <f>SUM(Table1[[#This Row],[Amount]]:Table1[[#This Row],[Total Fee]])</f>
        <v>4256211.3839999996</v>
      </c>
      <c r="M69" s="8">
        <f>IF(OR(Table1[[#This Row],[Action]]="Buy",Table1[[#This Row],[Action]]="Withdraw"),-Table1[[#This Row],[Net Amount]],Table1[[#This Row],[Net Amount]])</f>
        <v>-4256211.3839999996</v>
      </c>
    </row>
    <row r="70" spans="1:15">
      <c r="A70" s="2">
        <v>45702</v>
      </c>
      <c r="B70" t="str">
        <f t="shared" si="2"/>
        <v>TX0069</v>
      </c>
      <c r="C70" s="3"/>
      <c r="D70" t="s">
        <v>5</v>
      </c>
      <c r="F70" t="str" cm="1">
        <f t="array" ref="F70">_xlfn.IFS(Table1[[#This Row],[Action]]="Buy",Table1[[#This Row],[Lot ]],Table1[[#This Row],[Action]]="Sell",-Table1[[#This Row],[Lot ]],Table1[[#This Row],[Action]]="Dividend",0,TRUE,"")</f>
        <v/>
      </c>
      <c r="G70" s="4"/>
      <c r="H70" s="4" t="str" cm="1">
        <f t="array" ref="H70">IF(OR(Table1[[#This Row],[Stock Tickers]]="",Table1[[#This Row],[Action]]="Dividend"), "",IF(Table1[[#This Row],[Action]]="Buy",(SUMIFS($L$2:L70, $C$2:C70,Table1[[#This Row],[Stock Tickers]], $D$2:D70, "Buy") + Table1[[#This Row],[Amount]]) / ((SUMIFS($E$2:E70, $C$2:C70,Table1[[#This Row],[Stock Tickers]], $D$2:D70, "Buy") + Table1[[#This Row],[Lot ]])*100),LOOKUP(2, 1/($C$2:C70=Table1[[#This Row],[Stock Tickers]]), $G$2:G70)))</f>
        <v/>
      </c>
      <c r="I70" s="4"/>
      <c r="J70" s="5">
        <v>15000000</v>
      </c>
      <c r="K70" s="5"/>
      <c r="L70" s="5">
        <f>SUM(Table1[[#This Row],[Amount]]:Table1[[#This Row],[Total Fee]])</f>
        <v>15000000</v>
      </c>
      <c r="M70" s="8">
        <f>IF(OR(Table1[[#This Row],[Action]]="Buy",Table1[[#This Row],[Action]]="Withdraw"),-Table1[[#This Row],[Net Amount]],Table1[[#This Row],[Net Amount]])</f>
        <v>15000000</v>
      </c>
    </row>
    <row r="71" spans="1:15">
      <c r="A71" s="2">
        <v>45705</v>
      </c>
      <c r="B71" t="str">
        <f t="shared" si="2"/>
        <v>TX0070</v>
      </c>
      <c r="C71" s="3" t="s">
        <v>10</v>
      </c>
      <c r="D71" t="s">
        <v>7</v>
      </c>
      <c r="E71">
        <v>15</v>
      </c>
      <c r="F71" cm="1">
        <f t="array" ref="F71">_xlfn.IFS(Table1[[#This Row],[Action]]="Buy",Table1[[#This Row],[Lot ]],Table1[[#This Row],[Action]]="Sell",-Table1[[#This Row],[Lot ]],Table1[[#This Row],[Action]]="Dividend",0,TRUE,"")</f>
        <v>15</v>
      </c>
      <c r="G71" s="4">
        <v>5770</v>
      </c>
      <c r="H71" s="4" cm="1">
        <f t="array" ref="H71">IF(OR(Table1[[#This Row],[Stock Tickers]]="",Table1[[#This Row],[Action]]="Dividend"), "",IF(Table1[[#This Row],[Action]]="Buy",(SUMIFS($L$2:L71, $C$2:C71,Table1[[#This Row],[Stock Tickers]], $D$2:D71, "Buy") + Table1[[#This Row],[Amount]]) / ((SUMIFS($E$2:E71, $C$2:C71,Table1[[#This Row],[Stock Tickers]], $D$2:D71, "Buy") + Table1[[#This Row],[Lot ]])*100),LOOKUP(2, 1/($C$2:C71=Table1[[#This Row],[Stock Tickers]]), $G$2:G71)))</f>
        <v>6410.838382771085</v>
      </c>
      <c r="I71" s="4"/>
      <c r="J71" s="5">
        <f>(Table1[[#This Row],[Lot ]]*100)*IF(Table1[[#This Row],[Action]]="Dividend",Table1[[#This Row],[Dividend per Share]],Table1[[#This Row],[Price]])</f>
        <v>8655000</v>
      </c>
      <c r="K71" s="5">
        <f>(exchange_fee+broker_fee)*J71</f>
        <v>16730.115000000002</v>
      </c>
      <c r="L71" s="5">
        <f>SUM(Table1[[#This Row],[Amount]]:Table1[[#This Row],[Total Fee]])</f>
        <v>8671730.1150000002</v>
      </c>
      <c r="M71" s="8">
        <f>IF(OR(Table1[[#This Row],[Action]]="Buy",Table1[[#This Row],[Action]]="Withdraw"),-Table1[[#This Row],[Net Amount]],Table1[[#This Row],[Net Amount]])</f>
        <v>-8671730.1150000002</v>
      </c>
    </row>
    <row r="72" spans="1:15">
      <c r="A72" s="2">
        <v>45712</v>
      </c>
      <c r="B72" t="str">
        <f t="shared" si="2"/>
        <v>TX0071</v>
      </c>
      <c r="C72" s="3" t="s">
        <v>13</v>
      </c>
      <c r="D72" t="s">
        <v>12</v>
      </c>
      <c r="E72">
        <v>29</v>
      </c>
      <c r="F72" cm="1">
        <f t="array" ref="F72">_xlfn.IFS(Table1[[#This Row],[Action]]="Buy",Table1[[#This Row],[Lot ]],Table1[[#This Row],[Action]]="Sell",-Table1[[#This Row],[Lot ]],Table1[[#This Row],[Action]]="Dividend",0,TRUE,"")</f>
        <v>0</v>
      </c>
      <c r="G72" s="4"/>
      <c r="H72" s="4" t="str" cm="1">
        <f t="array" ref="H72">IF(OR(Table1[[#This Row],[Stock Tickers]]="",Table1[[#This Row],[Action]]="Dividend"), "",IF(Table1[[#This Row],[Action]]="Buy",(SUMIFS($L$2:L72, $C$2:C72,Table1[[#This Row],[Stock Tickers]], $D$2:D72, "Buy") + Table1[[#This Row],[Amount]]) / ((SUMIFS($E$2:E72, $C$2:C72,Table1[[#This Row],[Stock Tickers]], $D$2:D72, "Buy") + Table1[[#This Row],[Lot ]])*100),LOOKUP(2, 1/($C$2:C72=Table1[[#This Row],[Stock Tickers]]), $G$2:G72)))</f>
        <v/>
      </c>
      <c r="I72" s="4">
        <v>738</v>
      </c>
      <c r="J72" s="5">
        <f>(Table1[[#This Row],[Lot ]]*100)*IF(Table1[[#This Row],[Action]]="Dividend",Table1[[#This Row],[Dividend per Share]],Table1[[#This Row],[Price]])</f>
        <v>2140200</v>
      </c>
      <c r="K72" s="5"/>
      <c r="L72" s="5">
        <f>SUM(Table1[[#This Row],[Amount]]:Table1[[#This Row],[Total Fee]])</f>
        <v>2140200</v>
      </c>
      <c r="M72" s="8">
        <f>IF(OR(Table1[[#This Row],[Action]]="Buy",Table1[[#This Row],[Action]]="Withdraw"),-Table1[[#This Row],[Net Amount]],Table1[[#This Row],[Net Amount]])</f>
        <v>2140200</v>
      </c>
    </row>
    <row r="73" spans="1:15">
      <c r="A73" s="2">
        <v>45716</v>
      </c>
      <c r="B73" t="str">
        <f t="shared" si="2"/>
        <v>TX0072</v>
      </c>
      <c r="C73" s="3" t="s">
        <v>14</v>
      </c>
      <c r="D73" t="s">
        <v>7</v>
      </c>
      <c r="E73">
        <v>7</v>
      </c>
      <c r="F73" cm="1">
        <f t="array" ref="F73">_xlfn.IFS(Table1[[#This Row],[Action]]="Buy",Table1[[#This Row],[Lot ]],Table1[[#This Row],[Action]]="Sell",-Table1[[#This Row],[Lot ]],Table1[[#This Row],[Action]]="Dividend",0,TRUE,"")</f>
        <v>7</v>
      </c>
      <c r="G73" s="4">
        <v>8330</v>
      </c>
      <c r="H73" s="4" cm="1">
        <f t="array" ref="H73">IF(OR(Table1[[#This Row],[Stock Tickers]]="",Table1[[#This Row],[Action]]="Dividend"), "",IF(Table1[[#This Row],[Action]]="Buy",(SUMIFS($L$2:L73, $C$2:C73,Table1[[#This Row],[Stock Tickers]], $D$2:D73, "Buy") + Table1[[#This Row],[Amount]]) / ((SUMIFS($E$2:E73, $C$2:C73,Table1[[#This Row],[Stock Tickers]], $D$2:D73, "Buy") + Table1[[#This Row],[Lot ]])*100),LOOKUP(2, 1/($C$2:C73=Table1[[#This Row],[Stock Tickers]]), $G$2:G73)))</f>
        <v>7052.4275308571423</v>
      </c>
      <c r="I73" s="4"/>
      <c r="J73" s="5">
        <f>(Table1[[#This Row],[Lot ]]*100)*IF(Table1[[#This Row],[Action]]="Dividend",Table1[[#This Row],[Dividend per Share]],Table1[[#This Row],[Price]])</f>
        <v>5831000</v>
      </c>
      <c r="K73" s="5">
        <f t="shared" ref="K73:K78" si="3">(exchange_fee+broker_fee)*J73</f>
        <v>11271.323</v>
      </c>
      <c r="L73" s="5">
        <f>SUM(Table1[[#This Row],[Amount]]:Table1[[#This Row],[Total Fee]])</f>
        <v>5842271.3229999999</v>
      </c>
      <c r="M73" s="8">
        <f>IF(OR(Table1[[#This Row],[Action]]="Buy",Table1[[#This Row],[Action]]="Withdraw"),-Table1[[#This Row],[Net Amount]],Table1[[#This Row],[Net Amount]])</f>
        <v>-5842271.3229999999</v>
      </c>
    </row>
    <row r="74" spans="1:15">
      <c r="A74" s="2">
        <v>45717</v>
      </c>
      <c r="B74" t="str">
        <f t="shared" si="2"/>
        <v>TX0073</v>
      </c>
      <c r="C74" s="3" t="s">
        <v>19</v>
      </c>
      <c r="D74" t="s">
        <v>7</v>
      </c>
      <c r="E74">
        <v>5</v>
      </c>
      <c r="F74" cm="1">
        <f t="array" ref="F74">_xlfn.IFS(Table1[[#This Row],[Action]]="Buy",Table1[[#This Row],[Lot ]],Table1[[#This Row],[Action]]="Sell",-Table1[[#This Row],[Lot ]],Table1[[#This Row],[Action]]="Dividend",0,TRUE,"")</f>
        <v>5</v>
      </c>
      <c r="G74" s="4">
        <v>7375</v>
      </c>
      <c r="H74" s="4" cm="1">
        <f t="array" ref="H74">IF(OR(Table1[[#This Row],[Stock Tickers]]="",Table1[[#This Row],[Action]]="Dividend"), "",IF(Table1[[#This Row],[Action]]="Buy",(SUMIFS($L$2:L74, $C$2:C74,Table1[[#This Row],[Stock Tickers]], $D$2:D74, "Buy") + Table1[[#This Row],[Amount]]) / ((SUMIFS($E$2:E74, $C$2:C74,Table1[[#This Row],[Stock Tickers]], $D$2:D74, "Buy") + Table1[[#This Row],[Lot ]])*100),LOOKUP(2, 1/($C$2:C74=Table1[[#This Row],[Stock Tickers]]), $G$2:G74)))</f>
        <v>7382.1279375000004</v>
      </c>
      <c r="I74" s="4"/>
      <c r="J74" s="5">
        <f>(Table1[[#This Row],[Lot ]]*100)*IF(Table1[[#This Row],[Action]]="Dividend",Table1[[#This Row],[Dividend per Share]],Table1[[#This Row],[Price]])</f>
        <v>3687500</v>
      </c>
      <c r="K74" s="5">
        <f t="shared" si="3"/>
        <v>7127.9375</v>
      </c>
      <c r="L74" s="5">
        <f>SUM(Table1[[#This Row],[Amount]]:Table1[[#This Row],[Total Fee]])</f>
        <v>3694627.9375</v>
      </c>
      <c r="M74" s="8">
        <f>IF(OR(Table1[[#This Row],[Action]]="Buy",Table1[[#This Row],[Action]]="Withdraw"),-Table1[[#This Row],[Net Amount]],Table1[[#This Row],[Net Amount]])</f>
        <v>-3694627.9375</v>
      </c>
    </row>
    <row r="75" spans="1:15">
      <c r="A75" s="2">
        <v>45721</v>
      </c>
      <c r="B75" t="str">
        <f t="shared" si="2"/>
        <v>TX0074</v>
      </c>
      <c r="C75" s="3" t="s">
        <v>6</v>
      </c>
      <c r="D75" t="s">
        <v>15</v>
      </c>
      <c r="E75">
        <v>25</v>
      </c>
      <c r="F75" cm="1">
        <f t="array" ref="F75">_xlfn.IFS(Table1[[#This Row],[Action]]="Buy",Table1[[#This Row],[Lot ]],Table1[[#This Row],[Action]]="Sell",-Table1[[#This Row],[Lot ]],Table1[[#This Row],[Action]]="Dividend",0,TRUE,"")</f>
        <v>-25</v>
      </c>
      <c r="G75" s="4">
        <v>5910</v>
      </c>
      <c r="H75" s="4" cm="1">
        <f t="array" ref="H75">IF(OR(Table1[[#This Row],[Stock Tickers]]="",Table1[[#This Row],[Action]]="Dividend"), "",IF(Table1[[#This Row],[Action]]="Buy",(SUMIFS($L$2:L75, $C$2:C75,Table1[[#This Row],[Stock Tickers]], $D$2:D75, "Buy") + Table1[[#This Row],[Amount]]) / ((SUMIFS($E$2:E75, $C$2:C75,Table1[[#This Row],[Stock Tickers]], $D$2:D75, "Buy") + Table1[[#This Row],[Lot ]])*100),LOOKUP(2, 1/($C$2:C75=Table1[[#This Row],[Stock Tickers]]), $G$2:G75)))</f>
        <v>5910</v>
      </c>
      <c r="I75" s="4"/>
      <c r="J75" s="5">
        <f>(Table1[[#This Row],[Lot ]]*100)*IF(Table1[[#This Row],[Action]]="Dividend",Table1[[#This Row],[Dividend per Share]],Table1[[#This Row],[Price]])</f>
        <v>14775000</v>
      </c>
      <c r="K75" s="5">
        <f t="shared" si="3"/>
        <v>28560.075000000001</v>
      </c>
      <c r="L75" s="5">
        <f>SUM(Table1[[#This Row],[Amount]]:Table1[[#This Row],[Total Fee]])</f>
        <v>14803560.074999999</v>
      </c>
      <c r="M75" s="8">
        <f>IF(OR(Table1[[#This Row],[Action]]="Buy",Table1[[#This Row],[Action]]="Withdraw"),-Table1[[#This Row],[Net Amount]],Table1[[#This Row],[Net Amount]])</f>
        <v>14803560.074999999</v>
      </c>
    </row>
    <row r="76" spans="1:15">
      <c r="A76" s="2">
        <v>45734</v>
      </c>
      <c r="B76" t="str">
        <f t="shared" si="2"/>
        <v>TX0075</v>
      </c>
      <c r="C76" s="3" t="s">
        <v>16</v>
      </c>
      <c r="D76" t="s">
        <v>7</v>
      </c>
      <c r="E76">
        <v>15</v>
      </c>
      <c r="F76" cm="1">
        <f t="array" ref="F76">_xlfn.IFS(Table1[[#This Row],[Action]]="Buy",Table1[[#This Row],[Lot ]],Table1[[#This Row],[Action]]="Sell",-Table1[[#This Row],[Lot ]],Table1[[#This Row],[Action]]="Dividend",0,TRUE,"")</f>
        <v>15</v>
      </c>
      <c r="G76" s="4">
        <v>95</v>
      </c>
      <c r="H76" s="4" cm="1">
        <f t="array" ref="H76">IF(OR(Table1[[#This Row],[Stock Tickers]]="",Table1[[#This Row],[Action]]="Dividend"), "",IF(Table1[[#This Row],[Action]]="Buy",(SUMIFS($L$2:L76, $C$2:C76,Table1[[#This Row],[Stock Tickers]], $D$2:D76, "Buy") + Table1[[#This Row],[Amount]]) / ((SUMIFS($E$2:E76, $C$2:C76,Table1[[#This Row],[Stock Tickers]], $D$2:D76, "Buy") + Table1[[#This Row],[Lot ]])*100),LOOKUP(2, 1/($C$2:C76=Table1[[#This Row],[Stock Tickers]]), $G$2:G76)))</f>
        <v>109.13929585067874</v>
      </c>
      <c r="I76" s="4"/>
      <c r="J76" s="5">
        <f>(Table1[[#This Row],[Lot ]]*100)*IF(Table1[[#This Row],[Action]]="Dividend",Table1[[#This Row],[Dividend per Share]],Table1[[#This Row],[Price]])</f>
        <v>142500</v>
      </c>
      <c r="K76" s="5">
        <f t="shared" si="3"/>
        <v>275.45249999999999</v>
      </c>
      <c r="L76" s="5">
        <f>SUM(Table1[[#This Row],[Amount]]:Table1[[#This Row],[Total Fee]])</f>
        <v>142775.45250000001</v>
      </c>
      <c r="M76" s="8">
        <f>IF(OR(Table1[[#This Row],[Action]]="Buy",Table1[[#This Row],[Action]]="Withdraw"),-Table1[[#This Row],[Net Amount]],Table1[[#This Row],[Net Amount]])</f>
        <v>-142775.45250000001</v>
      </c>
    </row>
    <row r="77" spans="1:15">
      <c r="A77" s="2">
        <v>45736</v>
      </c>
      <c r="B77" t="str">
        <f t="shared" si="2"/>
        <v>TX0076</v>
      </c>
      <c r="C77" s="3">
        <v>0</v>
      </c>
      <c r="D77" t="s">
        <v>7</v>
      </c>
      <c r="E77">
        <v>10</v>
      </c>
      <c r="F77" cm="1">
        <f t="array" ref="F77">_xlfn.IFS(Table1[[#This Row],[Action]]="Buy",Table1[[#This Row],[Lot ]],Table1[[#This Row],[Action]]="Sell",-Table1[[#This Row],[Lot ]],Table1[[#This Row],[Action]]="Dividend",0,TRUE,"")</f>
        <v>10</v>
      </c>
      <c r="G77" s="4">
        <v>2410</v>
      </c>
      <c r="H77" s="4" cm="1">
        <f t="array" ref="H77">IF(OR(Table1[[#This Row],[Stock Tickers]]="",Table1[[#This Row],[Action]]="Dividend"), "",IF(Table1[[#This Row],[Action]]="Buy",(SUMIFS($L$2:L77, $C$2:C77,Table1[[#This Row],[Stock Tickers]], $D$2:D77, "Buy") + Table1[[#This Row],[Amount]]) / ((SUMIFS($E$2:E77, $C$2:C77,Table1[[#This Row],[Stock Tickers]], $D$2:D77, "Buy") + Table1[[#This Row],[Lot ]])*100),LOOKUP(2, 1/($C$2:C77=Table1[[#This Row],[Stock Tickers]]), $G$2:G77)))</f>
        <v>2412.3292649999999</v>
      </c>
      <c r="I77" s="4"/>
      <c r="J77" s="5">
        <f>(Table1[[#This Row],[Lot ]]*100)*IF(Table1[[#This Row],[Action]]="Dividend",Table1[[#This Row],[Dividend per Share]],Table1[[#This Row],[Price]])</f>
        <v>2410000</v>
      </c>
      <c r="K77" s="5">
        <f t="shared" si="3"/>
        <v>4658.53</v>
      </c>
      <c r="L77" s="5">
        <f>SUM(Table1[[#This Row],[Amount]]:Table1[[#This Row],[Total Fee]])</f>
        <v>2414658.5299999998</v>
      </c>
      <c r="M77" s="8">
        <f>IF(OR(Table1[[#This Row],[Action]]="Buy",Table1[[#This Row],[Action]]="Withdraw"),-Table1[[#This Row],[Net Amount]],Table1[[#This Row],[Net Amount]])</f>
        <v>-2414658.5299999998</v>
      </c>
    </row>
    <row r="78" spans="1:15">
      <c r="A78" s="2">
        <v>45745</v>
      </c>
      <c r="B78" t="str">
        <f t="shared" si="2"/>
        <v>TX0077</v>
      </c>
      <c r="C78" s="3" t="s">
        <v>18</v>
      </c>
      <c r="D78" t="s">
        <v>7</v>
      </c>
      <c r="E78">
        <v>15</v>
      </c>
      <c r="F78" cm="1">
        <f t="array" ref="F78">_xlfn.IFS(Table1[[#This Row],[Action]]="Buy",Table1[[#This Row],[Lot ]],Table1[[#This Row],[Action]]="Sell",-Table1[[#This Row],[Lot ]],Table1[[#This Row],[Action]]="Dividend",0,TRUE,"")</f>
        <v>15</v>
      </c>
      <c r="G78" s="4">
        <v>5300</v>
      </c>
      <c r="H78" s="4" cm="1">
        <f t="array" ref="H78">IF(OR(Table1[[#This Row],[Stock Tickers]]="",Table1[[#This Row],[Action]]="Dividend"), "",IF(Table1[[#This Row],[Action]]="Buy",(SUMIFS($L$2:L78, $C$2:C78,Table1[[#This Row],[Stock Tickers]], $D$2:D78, "Buy") + Table1[[#This Row],[Amount]]) / ((SUMIFS($E$2:E78, $C$2:C78,Table1[[#This Row],[Stock Tickers]], $D$2:D78, "Buy") + Table1[[#This Row],[Lot ]])*100),LOOKUP(2, 1/($C$2:C78=Table1[[#This Row],[Stock Tickers]]), $G$2:G78)))</f>
        <v>5494.2655000000004</v>
      </c>
      <c r="I78" s="4"/>
      <c r="J78" s="5">
        <f>(Table1[[#This Row],[Lot ]]*100)*IF(Table1[[#This Row],[Action]]="Dividend",Table1[[#This Row],[Dividend per Share]],Table1[[#This Row],[Price]])</f>
        <v>7950000</v>
      </c>
      <c r="K78" s="5">
        <f t="shared" si="3"/>
        <v>15367.35</v>
      </c>
      <c r="L78" s="5">
        <f>SUM(Table1[[#This Row],[Amount]]:Table1[[#This Row],[Total Fee]])</f>
        <v>7965367.3499999996</v>
      </c>
      <c r="M78" s="8">
        <f>IF(OR(Table1[[#This Row],[Action]]="Buy",Table1[[#This Row],[Action]]="Withdraw"),-Table1[[#This Row],[Net Amount]],Table1[[#This Row],[Net Amount]])</f>
        <v>-7965367.3499999996</v>
      </c>
    </row>
    <row r="79" spans="1:15">
      <c r="A79" s="2">
        <v>45748</v>
      </c>
      <c r="B79" t="str">
        <f t="shared" si="2"/>
        <v>TX0078</v>
      </c>
      <c r="C79" s="3" t="s">
        <v>11</v>
      </c>
      <c r="D79" t="s">
        <v>12</v>
      </c>
      <c r="E79">
        <v>123</v>
      </c>
      <c r="F79" cm="1">
        <f t="array" ref="F79">_xlfn.IFS(Table1[[#This Row],[Action]]="Buy",Table1[[#This Row],[Lot ]],Table1[[#This Row],[Action]]="Sell",-Table1[[#This Row],[Lot ]],Table1[[#This Row],[Action]]="Dividend",0,TRUE,"")</f>
        <v>0</v>
      </c>
      <c r="G79" s="4"/>
      <c r="H79" s="4" t="str" cm="1">
        <f t="array" ref="H79">IF(OR(Table1[[#This Row],[Stock Tickers]]="",Table1[[#This Row],[Action]]="Dividend"), "",IF(Table1[[#This Row],[Action]]="Buy",(SUMIFS($L$2:L79, $C$2:C79,Table1[[#This Row],[Stock Tickers]], $D$2:D79, "Buy") + Table1[[#This Row],[Amount]]) / ((SUMIFS($E$2:E79, $C$2:C79,Table1[[#This Row],[Stock Tickers]], $D$2:D79, "Buy") + Table1[[#This Row],[Lot ]])*100),LOOKUP(2, 1/($C$2:C79=Table1[[#This Row],[Stock Tickers]]), $G$2:G79)))</f>
        <v/>
      </c>
      <c r="I79" s="4">
        <v>308</v>
      </c>
      <c r="J79" s="5">
        <f>(Table1[[#This Row],[Lot ]]*100)*IF(Table1[[#This Row],[Action]]="Dividend",Table1[[#This Row],[Dividend per Share]],Table1[[#This Row],[Price]])</f>
        <v>3788400</v>
      </c>
      <c r="K79" s="5"/>
      <c r="L79" s="5">
        <f>SUM(Table1[[#This Row],[Amount]]:Table1[[#This Row],[Total Fee]])</f>
        <v>3788400</v>
      </c>
      <c r="M79" s="8">
        <f>IF(OR(Table1[[#This Row],[Action]]="Buy",Table1[[#This Row],[Action]]="Withdraw"),-Table1[[#This Row],[Net Amount]],Table1[[#This Row],[Net Amount]])</f>
        <v>3788400</v>
      </c>
    </row>
    <row r="80" spans="1:15">
      <c r="A80" s="2">
        <v>45751</v>
      </c>
      <c r="B80" t="str">
        <f t="shared" si="2"/>
        <v>TX0079</v>
      </c>
      <c r="C80" s="3" t="s">
        <v>10</v>
      </c>
      <c r="D80" t="s">
        <v>7</v>
      </c>
      <c r="E80">
        <v>8</v>
      </c>
      <c r="F80" cm="1">
        <f t="array" ref="F80">_xlfn.IFS(Table1[[#This Row],[Action]]="Buy",Table1[[#This Row],[Lot ]],Table1[[#This Row],[Action]]="Sell",-Table1[[#This Row],[Lot ]],Table1[[#This Row],[Action]]="Dividend",0,TRUE,"")</f>
        <v>8</v>
      </c>
      <c r="G80" s="4">
        <v>6850</v>
      </c>
      <c r="H80" s="4" cm="1">
        <f t="array" ref="H80">IF(OR(Table1[[#This Row],[Stock Tickers]]="",Table1[[#This Row],[Action]]="Dividend"), "",IF(Table1[[#This Row],[Action]]="Buy",(SUMIFS($L$2:L80, $C$2:C80,Table1[[#This Row],[Stock Tickers]], $D$2:D80, "Buy") + Table1[[#This Row],[Amount]]) / ((SUMIFS($E$2:E80, $C$2:C80,Table1[[#This Row],[Stock Tickers]], $D$2:D80, "Buy") + Table1[[#This Row],[Lot ]])*100),LOOKUP(2, 1/($C$2:C80=Table1[[#This Row],[Stock Tickers]]), $G$2:G80)))</f>
        <v>6610.1846925000009</v>
      </c>
      <c r="I80" s="4"/>
      <c r="J80" s="5">
        <f>(Table1[[#This Row],[Lot ]]*100)*IF(Table1[[#This Row],[Action]]="Dividend",Table1[[#This Row],[Dividend per Share]],Table1[[#This Row],[Price]])</f>
        <v>5480000</v>
      </c>
      <c r="K80" s="5">
        <f>(exchange_fee+broker_fee)*J80</f>
        <v>10592.84</v>
      </c>
      <c r="L80" s="5">
        <f>SUM(Table1[[#This Row],[Amount]]:Table1[[#This Row],[Total Fee]])</f>
        <v>5490592.8399999999</v>
      </c>
      <c r="M80" s="8">
        <f>IF(OR(Table1[[#This Row],[Action]]="Buy",Table1[[#This Row],[Action]]="Withdraw"),-Table1[[#This Row],[Net Amount]],Table1[[#This Row],[Net Amount]])</f>
        <v>-5490592.8399999999</v>
      </c>
    </row>
    <row r="81" spans="1:13">
      <c r="A81" s="2">
        <v>45758</v>
      </c>
      <c r="B81" t="str">
        <f t="shared" si="2"/>
        <v>TX0080</v>
      </c>
      <c r="C81" s="3" t="s">
        <v>9</v>
      </c>
      <c r="D81" t="s">
        <v>7</v>
      </c>
      <c r="E81">
        <v>19</v>
      </c>
      <c r="F81" cm="1">
        <f t="array" ref="F81">_xlfn.IFS(Table1[[#This Row],[Action]]="Buy",Table1[[#This Row],[Lot ]],Table1[[#This Row],[Action]]="Sell",-Table1[[#This Row],[Lot ]],Table1[[#This Row],[Action]]="Dividend",0,TRUE,"")</f>
        <v>19</v>
      </c>
      <c r="G81" s="4">
        <v>2770</v>
      </c>
      <c r="H81" s="4" cm="1">
        <f t="array" ref="H81">IF(OR(Table1[[#This Row],[Stock Tickers]]="",Table1[[#This Row],[Action]]="Dividend"), "",IF(Table1[[#This Row],[Action]]="Buy",(SUMIFS($L$2:L81, $C$2:C81,Table1[[#This Row],[Stock Tickers]], $D$2:D81, "Buy") + Table1[[#This Row],[Amount]]) / ((SUMIFS($E$2:E81, $C$2:C81,Table1[[#This Row],[Stock Tickers]], $D$2:D81, "Buy") + Table1[[#This Row],[Lot ]])*100),LOOKUP(2, 1/($C$2:C81=Table1[[#This Row],[Stock Tickers]]), $G$2:G81)))</f>
        <v>2386.8247358695648</v>
      </c>
      <c r="I81" s="4"/>
      <c r="J81" s="5">
        <f>(Table1[[#This Row],[Lot ]]*100)*IF(Table1[[#This Row],[Action]]="Dividend",Table1[[#This Row],[Dividend per Share]],Table1[[#This Row],[Price]])</f>
        <v>5263000</v>
      </c>
      <c r="K81" s="5">
        <f>(exchange_fee+broker_fee)*J81</f>
        <v>10173.379000000001</v>
      </c>
      <c r="L81" s="5">
        <f>SUM(Table1[[#This Row],[Amount]]:Table1[[#This Row],[Total Fee]])</f>
        <v>5273173.3789999997</v>
      </c>
      <c r="M81" s="8">
        <f>IF(OR(Table1[[#This Row],[Action]]="Buy",Table1[[#This Row],[Action]]="Withdraw"),-Table1[[#This Row],[Net Amount]],Table1[[#This Row],[Net Amount]])</f>
        <v>-5273173.3789999997</v>
      </c>
    </row>
    <row r="82" spans="1:13">
      <c r="A82" s="2">
        <v>45760</v>
      </c>
      <c r="B82" t="str">
        <f t="shared" si="2"/>
        <v>TX0081</v>
      </c>
      <c r="C82" s="3"/>
      <c r="D82" t="s">
        <v>5</v>
      </c>
      <c r="F82" t="str" cm="1">
        <f t="array" ref="F82">_xlfn.IFS(Table1[[#This Row],[Action]]="Buy",Table1[[#This Row],[Lot ]],Table1[[#This Row],[Action]]="Sell",-Table1[[#This Row],[Lot ]],Table1[[#This Row],[Action]]="Dividend",0,TRUE,"")</f>
        <v/>
      </c>
      <c r="G82" s="4"/>
      <c r="H82" s="4" t="str" cm="1">
        <f t="array" ref="H82">IF(OR(Table1[[#This Row],[Stock Tickers]]="",Table1[[#This Row],[Action]]="Dividend"), "",IF(Table1[[#This Row],[Action]]="Buy",(SUMIFS($L$2:L82, $C$2:C82,Table1[[#This Row],[Stock Tickers]], $D$2:D82, "Buy") + Table1[[#This Row],[Amount]]) / ((SUMIFS($E$2:E82, $C$2:C82,Table1[[#This Row],[Stock Tickers]], $D$2:D82, "Buy") + Table1[[#This Row],[Lot ]])*100),LOOKUP(2, 1/($C$2:C82=Table1[[#This Row],[Stock Tickers]]), $G$2:G82)))</f>
        <v/>
      </c>
      <c r="I82" s="4"/>
      <c r="J82" s="5">
        <v>150000000</v>
      </c>
      <c r="K82" s="5"/>
      <c r="L82" s="5">
        <f>SUM(Table1[[#This Row],[Amount]]:Table1[[#This Row],[Total Fee]])</f>
        <v>150000000</v>
      </c>
      <c r="M82" s="8">
        <f>IF(OR(Table1[[#This Row],[Action]]="Buy",Table1[[#This Row],[Action]]="Withdraw"),-Table1[[#This Row],[Net Amount]],Table1[[#This Row],[Net Amount]])</f>
        <v>150000000</v>
      </c>
    </row>
    <row r="83" spans="1:13">
      <c r="A83" s="2">
        <v>45774</v>
      </c>
      <c r="B83" t="str">
        <f t="shared" si="2"/>
        <v>TX0082</v>
      </c>
      <c r="C83" s="3" t="s">
        <v>14</v>
      </c>
      <c r="D83" t="s">
        <v>7</v>
      </c>
      <c r="E83">
        <v>6</v>
      </c>
      <c r="F83" cm="1">
        <f t="array" ref="F83">_xlfn.IFS(Table1[[#This Row],[Action]]="Buy",Table1[[#This Row],[Lot ]],Table1[[#This Row],[Action]]="Sell",-Table1[[#This Row],[Lot ]],Table1[[#This Row],[Action]]="Dividend",0,TRUE,"")</f>
        <v>6</v>
      </c>
      <c r="G83" s="4">
        <v>9100</v>
      </c>
      <c r="H83" s="4" cm="1">
        <f t="array" ref="H83">IF(OR(Table1[[#This Row],[Stock Tickers]]="",Table1[[#This Row],[Action]]="Dividend"), "",IF(Table1[[#This Row],[Action]]="Buy",(SUMIFS($L$2:L83, $C$2:C83,Table1[[#This Row],[Stock Tickers]], $D$2:D83, "Buy") + Table1[[#This Row],[Amount]]) / ((SUMIFS($E$2:E83, $C$2:C83,Table1[[#This Row],[Stock Tickers]], $D$2:D83, "Buy") + Table1[[#This Row],[Lot ]])*100),LOOKUP(2, 1/($C$2:C83=Table1[[#This Row],[Stock Tickers]]), $G$2:G83)))</f>
        <v>7262.2062527999997</v>
      </c>
      <c r="I83" s="4"/>
      <c r="J83" s="5">
        <f>(Table1[[#This Row],[Lot ]]*100)*IF(Table1[[#This Row],[Action]]="Dividend",Table1[[#This Row],[Dividend per Share]],Table1[[#This Row],[Price]])</f>
        <v>5460000</v>
      </c>
      <c r="K83" s="5">
        <f t="shared" ref="K83:K88" si="4">(exchange_fee+broker_fee)*J83</f>
        <v>10554.18</v>
      </c>
      <c r="L83" s="5">
        <f>SUM(Table1[[#This Row],[Amount]]:Table1[[#This Row],[Total Fee]])</f>
        <v>5470554.1799999997</v>
      </c>
      <c r="M83" s="8">
        <f>IF(OR(Table1[[#This Row],[Action]]="Buy",Table1[[#This Row],[Action]]="Withdraw"),-Table1[[#This Row],[Net Amount]],Table1[[#This Row],[Net Amount]])</f>
        <v>-5470554.1799999997</v>
      </c>
    </row>
    <row r="84" spans="1:13">
      <c r="A84" s="2">
        <v>45775</v>
      </c>
      <c r="B84" t="str">
        <f t="shared" si="2"/>
        <v>TX0083</v>
      </c>
      <c r="C84" s="3" t="s">
        <v>6</v>
      </c>
      <c r="D84" t="s">
        <v>7</v>
      </c>
      <c r="E84">
        <v>14</v>
      </c>
      <c r="F84" cm="1">
        <f t="array" ref="F84">_xlfn.IFS(Table1[[#This Row],[Action]]="Buy",Table1[[#This Row],[Lot ]],Table1[[#This Row],[Action]]="Sell",-Table1[[#This Row],[Lot ]],Table1[[#This Row],[Action]]="Dividend",0,TRUE,"")</f>
        <v>14</v>
      </c>
      <c r="G84" s="4">
        <v>3120</v>
      </c>
      <c r="H84" s="4" cm="1">
        <f t="array" ref="H84">IF(OR(Table1[[#This Row],[Stock Tickers]]="",Table1[[#This Row],[Action]]="Dividend"), "",IF(Table1[[#This Row],[Action]]="Buy",(SUMIFS($L$2:L84, $C$2:C84,Table1[[#This Row],[Stock Tickers]], $D$2:D84, "Buy") + Table1[[#This Row],[Amount]]) / ((SUMIFS($E$2:E84, $C$2:C84,Table1[[#This Row],[Stock Tickers]], $D$2:D84, "Buy") + Table1[[#This Row],[Lot ]])*100),LOOKUP(2, 1/($C$2:C84=Table1[[#This Row],[Stock Tickers]]), $G$2:G84)))</f>
        <v>3593.2394031382969</v>
      </c>
      <c r="I84" s="4"/>
      <c r="J84" s="5">
        <f>(Table1[[#This Row],[Lot ]]*100)*IF(Table1[[#This Row],[Action]]="Dividend",Table1[[#This Row],[Dividend per Share]],Table1[[#This Row],[Price]])</f>
        <v>4368000</v>
      </c>
      <c r="K84" s="5">
        <f t="shared" si="4"/>
        <v>8443.344000000001</v>
      </c>
      <c r="L84" s="5">
        <f>SUM(Table1[[#This Row],[Amount]]:Table1[[#This Row],[Total Fee]])</f>
        <v>4376443.3439999996</v>
      </c>
      <c r="M84" s="8">
        <f>IF(OR(Table1[[#This Row],[Action]]="Buy",Table1[[#This Row],[Action]]="Withdraw"),-Table1[[#This Row],[Net Amount]],Table1[[#This Row],[Net Amount]])</f>
        <v>-4376443.3439999996</v>
      </c>
    </row>
    <row r="85" spans="1:13">
      <c r="A85" s="2">
        <v>45782</v>
      </c>
      <c r="B85" t="str">
        <f t="shared" si="2"/>
        <v>TX0084</v>
      </c>
      <c r="C85" s="3" t="s">
        <v>8</v>
      </c>
      <c r="D85" t="s">
        <v>15</v>
      </c>
      <c r="E85">
        <v>5</v>
      </c>
      <c r="F85" cm="1">
        <f t="array" ref="F85">_xlfn.IFS(Table1[[#This Row],[Action]]="Buy",Table1[[#This Row],[Lot ]],Table1[[#This Row],[Action]]="Sell",-Table1[[#This Row],[Lot ]],Table1[[#This Row],[Action]]="Dividend",0,TRUE,"")</f>
        <v>-5</v>
      </c>
      <c r="G85" s="4">
        <v>3920</v>
      </c>
      <c r="H85" s="4" cm="1">
        <f t="array" ref="H85">IF(OR(Table1[[#This Row],[Stock Tickers]]="",Table1[[#This Row],[Action]]="Dividend"), "",IF(Table1[[#This Row],[Action]]="Buy",(SUMIFS($L$2:L85, $C$2:C85,Table1[[#This Row],[Stock Tickers]], $D$2:D85, "Buy") + Table1[[#This Row],[Amount]]) / ((SUMIFS($E$2:E85, $C$2:C85,Table1[[#This Row],[Stock Tickers]], $D$2:D85, "Buy") + Table1[[#This Row],[Lot ]])*100),LOOKUP(2, 1/($C$2:C85=Table1[[#This Row],[Stock Tickers]]), $G$2:G85)))</f>
        <v>3920</v>
      </c>
      <c r="I85" s="4"/>
      <c r="J85" s="5">
        <f>(Table1[[#This Row],[Lot ]]*100)*IF(Table1[[#This Row],[Action]]="Dividend",Table1[[#This Row],[Dividend per Share]],Table1[[#This Row],[Price]])</f>
        <v>1960000</v>
      </c>
      <c r="K85" s="5">
        <f t="shared" si="4"/>
        <v>3788.6800000000003</v>
      </c>
      <c r="L85" s="5">
        <f>SUM(Table1[[#This Row],[Amount]]:Table1[[#This Row],[Total Fee]])</f>
        <v>1963788.68</v>
      </c>
      <c r="M85" s="8">
        <f>IF(OR(Table1[[#This Row],[Action]]="Buy",Table1[[#This Row],[Action]]="Withdraw"),-Table1[[#This Row],[Net Amount]],Table1[[#This Row],[Net Amount]])</f>
        <v>1963788.68</v>
      </c>
    </row>
    <row r="86" spans="1:13">
      <c r="A86" s="2">
        <v>45782</v>
      </c>
      <c r="B86" t="str">
        <f t="shared" si="2"/>
        <v>TX0085</v>
      </c>
      <c r="C86" s="3" t="s">
        <v>16</v>
      </c>
      <c r="D86" t="s">
        <v>15</v>
      </c>
      <c r="E86">
        <v>35</v>
      </c>
      <c r="F86" cm="1">
        <f t="array" ref="F86">_xlfn.IFS(Table1[[#This Row],[Action]]="Buy",Table1[[#This Row],[Lot ]],Table1[[#This Row],[Action]]="Sell",-Table1[[#This Row],[Lot ]],Table1[[#This Row],[Action]]="Dividend",0,TRUE,"")</f>
        <v>-35</v>
      </c>
      <c r="G86" s="4">
        <v>78</v>
      </c>
      <c r="H86" s="4" cm="1">
        <f t="array" ref="H86">IF(OR(Table1[[#This Row],[Stock Tickers]]="",Table1[[#This Row],[Action]]="Dividend"), "",IF(Table1[[#This Row],[Action]]="Buy",(SUMIFS($L$2:L86, $C$2:C86,Table1[[#This Row],[Stock Tickers]], $D$2:D86, "Buy") + Table1[[#This Row],[Amount]]) / ((SUMIFS($E$2:E86, $C$2:C86,Table1[[#This Row],[Stock Tickers]], $D$2:D86, "Buy") + Table1[[#This Row],[Lot ]])*100),LOOKUP(2, 1/($C$2:C86=Table1[[#This Row],[Stock Tickers]]), $G$2:G86)))</f>
        <v>78</v>
      </c>
      <c r="I86" s="4"/>
      <c r="J86" s="5">
        <f>(Table1[[#This Row],[Lot ]]*100)*IF(Table1[[#This Row],[Action]]="Dividend",Table1[[#This Row],[Dividend per Share]],Table1[[#This Row],[Price]])</f>
        <v>273000</v>
      </c>
      <c r="K86" s="5">
        <f t="shared" si="4"/>
        <v>527.70900000000006</v>
      </c>
      <c r="L86" s="5">
        <f>SUM(Table1[[#This Row],[Amount]]:Table1[[#This Row],[Total Fee]])</f>
        <v>273527.70899999997</v>
      </c>
      <c r="M86" s="8">
        <f>IF(OR(Table1[[#This Row],[Action]]="Buy",Table1[[#This Row],[Action]]="Withdraw"),-Table1[[#This Row],[Net Amount]],Table1[[#This Row],[Net Amount]])</f>
        <v>273527.70899999997</v>
      </c>
    </row>
    <row r="87" spans="1:13">
      <c r="A87" s="2">
        <v>45792</v>
      </c>
      <c r="B87" t="str">
        <f t="shared" si="2"/>
        <v>TX0086</v>
      </c>
      <c r="C87" s="3" t="s">
        <v>16</v>
      </c>
      <c r="D87" t="s">
        <v>7</v>
      </c>
      <c r="E87">
        <v>32</v>
      </c>
      <c r="F87" cm="1">
        <f t="array" ref="F87">_xlfn.IFS(Table1[[#This Row],[Action]]="Buy",Table1[[#This Row],[Lot ]],Table1[[#This Row],[Action]]="Sell",-Table1[[#This Row],[Lot ]],Table1[[#This Row],[Action]]="Dividend",0,TRUE,"")</f>
        <v>32</v>
      </c>
      <c r="G87" s="4">
        <v>64</v>
      </c>
      <c r="H87" s="4" cm="1">
        <f t="array" ref="H87">IF(OR(Table1[[#This Row],[Stock Tickers]]="",Table1[[#This Row],[Action]]="Dividend"), "",IF(Table1[[#This Row],[Action]]="Buy",(SUMIFS($L$2:L87, $C$2:C87,Table1[[#This Row],[Stock Tickers]], $D$2:D87, "Buy") + Table1[[#This Row],[Amount]]) / ((SUMIFS($E$2:E87, $C$2:C87,Table1[[#This Row],[Stock Tickers]], $D$2:D87, "Buy") + Table1[[#This Row],[Lot ]])*100),LOOKUP(2, 1/($C$2:C87=Table1[[#This Row],[Stock Tickers]]), $G$2:G87)))</f>
        <v>99.239789507407409</v>
      </c>
      <c r="I87" s="4"/>
      <c r="J87" s="5">
        <f>(Table1[[#This Row],[Lot ]]*100)*IF(Table1[[#This Row],[Action]]="Dividend",Table1[[#This Row],[Dividend per Share]],Table1[[#This Row],[Price]])</f>
        <v>204800</v>
      </c>
      <c r="K87" s="5">
        <f t="shared" si="4"/>
        <v>395.8784</v>
      </c>
      <c r="L87" s="5">
        <f>SUM(Table1[[#This Row],[Amount]]:Table1[[#This Row],[Total Fee]])</f>
        <v>205195.87839999999</v>
      </c>
      <c r="M87" s="8">
        <f>IF(OR(Table1[[#This Row],[Action]]="Buy",Table1[[#This Row],[Action]]="Withdraw"),-Table1[[#This Row],[Net Amount]],Table1[[#This Row],[Net Amount]])</f>
        <v>-205195.87839999999</v>
      </c>
    </row>
    <row r="88" spans="1:13">
      <c r="A88" s="2">
        <v>45799</v>
      </c>
      <c r="B88" t="str">
        <f t="shared" si="2"/>
        <v>TX0087</v>
      </c>
      <c r="C88" s="3" t="s">
        <v>11</v>
      </c>
      <c r="D88" t="s">
        <v>7</v>
      </c>
      <c r="E88">
        <v>11</v>
      </c>
      <c r="F88" cm="1">
        <f t="array" ref="F88">_xlfn.IFS(Table1[[#This Row],[Action]]="Buy",Table1[[#This Row],[Lot ]],Table1[[#This Row],[Action]]="Sell",-Table1[[#This Row],[Lot ]],Table1[[#This Row],[Action]]="Dividend",0,TRUE,"")</f>
        <v>11</v>
      </c>
      <c r="G88" s="4">
        <v>5810</v>
      </c>
      <c r="H88" s="4" cm="1">
        <f t="array" ref="H88">IF(OR(Table1[[#This Row],[Stock Tickers]]="",Table1[[#This Row],[Action]]="Dividend"), "",IF(Table1[[#This Row],[Action]]="Buy",(SUMIFS($L$2:L88, $C$2:C88,Table1[[#This Row],[Stock Tickers]], $D$2:D88, "Buy") + Table1[[#This Row],[Amount]]) / ((SUMIFS($E$2:E88, $C$2:C88,Table1[[#This Row],[Stock Tickers]], $D$2:D88, "Buy") + Table1[[#This Row],[Lot ]])*100),LOOKUP(2, 1/($C$2:C88=Table1[[#This Row],[Stock Tickers]]), $G$2:G88)))</f>
        <v>5152.3626066906481</v>
      </c>
      <c r="I88" s="4"/>
      <c r="J88" s="5">
        <f>(Table1[[#This Row],[Lot ]]*100)*IF(Table1[[#This Row],[Action]]="Dividend",Table1[[#This Row],[Dividend per Share]],Table1[[#This Row],[Price]])</f>
        <v>6391000</v>
      </c>
      <c r="K88" s="5">
        <f t="shared" si="4"/>
        <v>12353.803</v>
      </c>
      <c r="L88" s="5">
        <f>SUM(Table1[[#This Row],[Amount]]:Table1[[#This Row],[Total Fee]])</f>
        <v>6403353.8030000003</v>
      </c>
      <c r="M88" s="8">
        <f>IF(OR(Table1[[#This Row],[Action]]="Buy",Table1[[#This Row],[Action]]="Withdraw"),-Table1[[#This Row],[Net Amount]],Table1[[#This Row],[Net Amount]])</f>
        <v>-6403353.8030000003</v>
      </c>
    </row>
    <row r="89" spans="1:13">
      <c r="A89" s="2">
        <v>45806</v>
      </c>
      <c r="B89" t="str">
        <f t="shared" si="2"/>
        <v>TX0088</v>
      </c>
      <c r="C89" s="3" t="s">
        <v>10</v>
      </c>
      <c r="D89" t="s">
        <v>12</v>
      </c>
      <c r="E89">
        <v>81</v>
      </c>
      <c r="F89" cm="1">
        <f t="array" ref="F89">_xlfn.IFS(Table1[[#This Row],[Action]]="Buy",Table1[[#This Row],[Lot ]],Table1[[#This Row],[Action]]="Sell",-Table1[[#This Row],[Lot ]],Table1[[#This Row],[Action]]="Dividend",0,TRUE,"")</f>
        <v>0</v>
      </c>
      <c r="G89" s="4"/>
      <c r="H89" s="4" t="str" cm="1">
        <f t="array" ref="H89">IF(OR(Table1[[#This Row],[Stock Tickers]]="",Table1[[#This Row],[Action]]="Dividend"), "",IF(Table1[[#This Row],[Action]]="Buy",(SUMIFS($L$2:L89, $C$2:C89,Table1[[#This Row],[Stock Tickers]], $D$2:D89, "Buy") + Table1[[#This Row],[Amount]]) / ((SUMIFS($E$2:E89, $C$2:C89,Table1[[#This Row],[Stock Tickers]], $D$2:D89, "Buy") + Table1[[#This Row],[Lot ]])*100),LOOKUP(2, 1/($C$2:C89=Table1[[#This Row],[Stock Tickers]]), $G$2:G89)))</f>
        <v/>
      </c>
      <c r="I89" s="4">
        <v>305</v>
      </c>
      <c r="J89" s="5">
        <f>(Table1[[#This Row],[Lot ]]*100)*IF(Table1[[#This Row],[Action]]="Dividend",Table1[[#This Row],[Dividend per Share]],Table1[[#This Row],[Price]])</f>
        <v>2470500</v>
      </c>
      <c r="K89" s="5"/>
      <c r="L89" s="5">
        <f>SUM(Table1[[#This Row],[Amount]]:Table1[[#This Row],[Total Fee]])</f>
        <v>2470500</v>
      </c>
      <c r="M89" s="8">
        <f>IF(OR(Table1[[#This Row],[Action]]="Buy",Table1[[#This Row],[Action]]="Withdraw"),-Table1[[#This Row],[Net Amount]],Table1[[#This Row],[Net Amount]])</f>
        <v>2470500</v>
      </c>
    </row>
    <row r="90" spans="1:13">
      <c r="A90" s="2">
        <v>45810</v>
      </c>
      <c r="B90" t="str">
        <f t="shared" si="2"/>
        <v>TX0089</v>
      </c>
      <c r="C90" s="3" t="s">
        <v>6</v>
      </c>
      <c r="D90" t="s">
        <v>12</v>
      </c>
      <c r="E90">
        <v>213</v>
      </c>
      <c r="F90" cm="1">
        <f t="array" ref="F90">_xlfn.IFS(Table1[[#This Row],[Action]]="Buy",Table1[[#This Row],[Lot ]],Table1[[#This Row],[Action]]="Sell",-Table1[[#This Row],[Lot ]],Table1[[#This Row],[Action]]="Dividend",0,TRUE,"")</f>
        <v>0</v>
      </c>
      <c r="G90" s="4"/>
      <c r="H90" s="4" t="str" cm="1">
        <f t="array" ref="H90">IF(OR(Table1[[#This Row],[Stock Tickers]]="",Table1[[#This Row],[Action]]="Dividend"), "",IF(Table1[[#This Row],[Action]]="Buy",(SUMIFS($L$2:L90, $C$2:C90,Table1[[#This Row],[Stock Tickers]], $D$2:D90, "Buy") + Table1[[#This Row],[Amount]]) / ((SUMIFS($E$2:E90, $C$2:C90,Table1[[#This Row],[Stock Tickers]], $D$2:D90, "Buy") + Table1[[#This Row],[Lot ]])*100),LOOKUP(2, 1/($C$2:C90=Table1[[#This Row],[Stock Tickers]]), $G$2:G90)))</f>
        <v/>
      </c>
      <c r="I90" s="4">
        <v>50</v>
      </c>
      <c r="J90" s="5">
        <f>(Table1[[#This Row],[Lot ]]*100)*IF(Table1[[#This Row],[Action]]="Dividend",Table1[[#This Row],[Dividend per Share]],Table1[[#This Row],[Price]])</f>
        <v>1065000</v>
      </c>
      <c r="K90" s="5"/>
      <c r="L90" s="5">
        <f>SUM(Table1[[#This Row],[Amount]]:Table1[[#This Row],[Total Fee]])</f>
        <v>1065000</v>
      </c>
      <c r="M90" s="8">
        <f>IF(OR(Table1[[#This Row],[Action]]="Buy",Table1[[#This Row],[Action]]="Withdraw"),-Table1[[#This Row],[Net Amount]],Table1[[#This Row],[Net Amount]])</f>
        <v>1065000</v>
      </c>
    </row>
    <row r="91" spans="1:13">
      <c r="A91" s="2">
        <v>45812</v>
      </c>
      <c r="B91" t="str">
        <f t="shared" si="2"/>
        <v>TX0090</v>
      </c>
      <c r="C91" s="3" t="s">
        <v>9</v>
      </c>
      <c r="D91" t="s">
        <v>7</v>
      </c>
      <c r="E91">
        <v>15</v>
      </c>
      <c r="F91" cm="1">
        <f t="array" ref="F91">_xlfn.IFS(Table1[[#This Row],[Action]]="Buy",Table1[[#This Row],[Lot ]],Table1[[#This Row],[Action]]="Sell",-Table1[[#This Row],[Lot ]],Table1[[#This Row],[Action]]="Dividend",0,TRUE,"")</f>
        <v>15</v>
      </c>
      <c r="G91" s="4">
        <v>2340</v>
      </c>
      <c r="H91" s="4" cm="1">
        <f t="array" ref="H91">IF(OR(Table1[[#This Row],[Stock Tickers]]="",Table1[[#This Row],[Action]]="Dividend"), "",IF(Table1[[#This Row],[Action]]="Buy",(SUMIFS($L$2:L91, $C$2:C91,Table1[[#This Row],[Stock Tickers]], $D$2:D91, "Buy") + Table1[[#This Row],[Amount]]) / ((SUMIFS($E$2:E91, $C$2:C91,Table1[[#This Row],[Stock Tickers]], $D$2:D91, "Buy") + Table1[[#This Row],[Lot ]])*100),LOOKUP(2, 1/($C$2:C91=Table1[[#This Row],[Stock Tickers]]), $G$2:G91)))</f>
        <v>2342.6338446153841</v>
      </c>
      <c r="I91" s="4"/>
      <c r="J91" s="5">
        <f>(Table1[[#This Row],[Lot ]]*100)*IF(Table1[[#This Row],[Action]]="Dividend",Table1[[#This Row],[Dividend per Share]],Table1[[#This Row],[Price]])</f>
        <v>3510000</v>
      </c>
      <c r="K91" s="5">
        <f>(exchange_fee+broker_fee)*J91</f>
        <v>6784.83</v>
      </c>
      <c r="L91" s="5">
        <f>SUM(Table1[[#This Row],[Amount]]:Table1[[#This Row],[Total Fee]])</f>
        <v>3516784.83</v>
      </c>
      <c r="M91" s="8">
        <f>IF(OR(Table1[[#This Row],[Action]]="Buy",Table1[[#This Row],[Action]]="Withdraw"),-Table1[[#This Row],[Net Amount]],Table1[[#This Row],[Net Amount]])</f>
        <v>-3516784.83</v>
      </c>
    </row>
    <row r="92" spans="1:13">
      <c r="A92" s="2">
        <v>45824</v>
      </c>
      <c r="B92" t="str">
        <f t="shared" si="2"/>
        <v>TX0091</v>
      </c>
      <c r="C92" s="3" t="s">
        <v>14</v>
      </c>
      <c r="D92" t="s">
        <v>15</v>
      </c>
      <c r="E92">
        <v>13</v>
      </c>
      <c r="F92" cm="1">
        <f t="array" ref="F92">_xlfn.IFS(Table1[[#This Row],[Action]]="Buy",Table1[[#This Row],[Lot ]],Table1[[#This Row],[Action]]="Sell",-Table1[[#This Row],[Lot ]],Table1[[#This Row],[Action]]="Dividend",0,TRUE,"")</f>
        <v>-13</v>
      </c>
      <c r="G92" s="4">
        <v>1240</v>
      </c>
      <c r="H92" s="4" cm="1">
        <f t="array" ref="H92">IF(OR(Table1[[#This Row],[Stock Tickers]]="",Table1[[#This Row],[Action]]="Dividend"), "",IF(Table1[[#This Row],[Action]]="Buy",(SUMIFS($L$2:L92, $C$2:C92,Table1[[#This Row],[Stock Tickers]], $D$2:D92, "Buy") + Table1[[#This Row],[Amount]]) / ((SUMIFS($E$2:E92, $C$2:C92,Table1[[#This Row],[Stock Tickers]], $D$2:D92, "Buy") + Table1[[#This Row],[Lot ]])*100),LOOKUP(2, 1/($C$2:C92=Table1[[#This Row],[Stock Tickers]]), $G$2:G92)))</f>
        <v>1240</v>
      </c>
      <c r="I92" s="4"/>
      <c r="J92" s="5">
        <f>(Table1[[#This Row],[Lot ]]*100)*IF(Table1[[#This Row],[Action]]="Dividend",Table1[[#This Row],[Dividend per Share]],Table1[[#This Row],[Price]])</f>
        <v>1612000</v>
      </c>
      <c r="K92" s="5">
        <f>(exchange_fee+broker_fee)*J92</f>
        <v>3115.9960000000001</v>
      </c>
      <c r="L92" s="5">
        <f>SUM(Table1[[#This Row],[Amount]]:Table1[[#This Row],[Total Fee]])</f>
        <v>1615115.996</v>
      </c>
      <c r="M92" s="8">
        <f>IF(OR(Table1[[#This Row],[Action]]="Buy",Table1[[#This Row],[Action]]="Withdraw"),-Table1[[#This Row],[Net Amount]],Table1[[#This Row],[Net Amount]])</f>
        <v>1615115.996</v>
      </c>
    </row>
    <row r="93" spans="1:13">
      <c r="A93" s="2">
        <v>45830</v>
      </c>
      <c r="B93" t="str">
        <f t="shared" si="2"/>
        <v>TX0092</v>
      </c>
      <c r="C93" s="3" t="s">
        <v>6</v>
      </c>
      <c r="D93" t="s">
        <v>7</v>
      </c>
      <c r="E93">
        <v>19</v>
      </c>
      <c r="F93" cm="1">
        <f t="array" ref="F93">_xlfn.IFS(Table1[[#This Row],[Action]]="Buy",Table1[[#This Row],[Lot ]],Table1[[#This Row],[Action]]="Sell",-Table1[[#This Row],[Lot ]],Table1[[#This Row],[Action]]="Dividend",0,TRUE,"")</f>
        <v>19</v>
      </c>
      <c r="G93" s="4">
        <v>4190</v>
      </c>
      <c r="H93" s="4" cm="1">
        <f t="array" ref="H93">IF(OR(Table1[[#This Row],[Stock Tickers]]="",Table1[[#This Row],[Action]]="Dividend"), "",IF(Table1[[#This Row],[Action]]="Buy",(SUMIFS($L$2:L93, $C$2:C93,Table1[[#This Row],[Stock Tickers]], $D$2:D93, "Buy") + Table1[[#This Row],[Amount]]) / ((SUMIFS($E$2:E93, $C$2:C93,Table1[[#This Row],[Stock Tickers]], $D$2:D93, "Buy") + Table1[[#This Row],[Lot ]])*100),LOOKUP(2, 1/($C$2:C93=Table1[[#This Row],[Stock Tickers]]), $G$2:G93)))</f>
        <v>3732.183461886792</v>
      </c>
      <c r="I93" s="4"/>
      <c r="J93" s="5">
        <f>(Table1[[#This Row],[Lot ]]*100)*IF(Table1[[#This Row],[Action]]="Dividend",Table1[[#This Row],[Dividend per Share]],Table1[[#This Row],[Price]])</f>
        <v>7961000</v>
      </c>
      <c r="K93" s="5">
        <f>(exchange_fee+broker_fee)*J93</f>
        <v>15388.613000000001</v>
      </c>
      <c r="L93" s="5">
        <f>SUM(Table1[[#This Row],[Amount]]:Table1[[#This Row],[Total Fee]])</f>
        <v>7976388.6129999999</v>
      </c>
      <c r="M93" s="8">
        <f>IF(OR(Table1[[#This Row],[Action]]="Buy",Table1[[#This Row],[Action]]="Withdraw"),-Table1[[#This Row],[Net Amount]],Table1[[#This Row],[Net Amount]])</f>
        <v>-7976388.6129999999</v>
      </c>
    </row>
    <row r="94" spans="1:13">
      <c r="A94" s="2">
        <v>45847</v>
      </c>
      <c r="B94" t="str">
        <f t="shared" si="2"/>
        <v>TX0093</v>
      </c>
      <c r="C94" s="3"/>
      <c r="D94" t="s">
        <v>17</v>
      </c>
      <c r="F94" t="str" cm="1">
        <f t="array" ref="F94">_xlfn.IFS(Table1[[#This Row],[Action]]="Buy",Table1[[#This Row],[Lot ]],Table1[[#This Row],[Action]]="Sell",-Table1[[#This Row],[Lot ]],Table1[[#This Row],[Action]]="Dividend",0,TRUE,"")</f>
        <v/>
      </c>
      <c r="G94" s="4"/>
      <c r="H94" s="4" t="str" cm="1">
        <f t="array" ref="H94">IF(OR(Table1[[#This Row],[Stock Tickers]]="",Table1[[#This Row],[Action]]="Dividend"), "",IF(Table1[[#This Row],[Action]]="Buy",(SUMIFS($L$2:L94, $C$2:C94,Table1[[#This Row],[Stock Tickers]], $D$2:D94, "Buy") + Table1[[#This Row],[Amount]]) / ((SUMIFS($E$2:E94, $C$2:C94,Table1[[#This Row],[Stock Tickers]], $D$2:D94, "Buy") + Table1[[#This Row],[Lot ]])*100),LOOKUP(2, 1/($C$2:C94=Table1[[#This Row],[Stock Tickers]]), $G$2:G94)))</f>
        <v/>
      </c>
      <c r="I94" s="4"/>
      <c r="J94" s="5">
        <v>30000000</v>
      </c>
      <c r="K94" s="5"/>
      <c r="L94" s="5">
        <f>SUM(Table1[[#This Row],[Amount]]:Table1[[#This Row],[Total Fee]])</f>
        <v>30000000</v>
      </c>
      <c r="M94" s="8">
        <f>IF(OR(Table1[[#This Row],[Action]]="Buy",Table1[[#This Row],[Action]]="Withdraw"),-Table1[[#This Row],[Net Amount]],Table1[[#This Row],[Net Amount]])</f>
        <v>-30000000</v>
      </c>
    </row>
    <row r="95" spans="1:13">
      <c r="A95" s="2">
        <v>45856</v>
      </c>
      <c r="B95" t="str">
        <f t="shared" si="2"/>
        <v>TX0094</v>
      </c>
      <c r="C95" s="3" t="s">
        <v>8</v>
      </c>
      <c r="D95" t="s">
        <v>7</v>
      </c>
      <c r="E95">
        <v>7</v>
      </c>
      <c r="F95" cm="1">
        <f t="array" ref="F95">_xlfn.IFS(Table1[[#This Row],[Action]]="Buy",Table1[[#This Row],[Lot ]],Table1[[#This Row],[Action]]="Sell",-Table1[[#This Row],[Lot ]],Table1[[#This Row],[Action]]="Dividend",0,TRUE,"")</f>
        <v>7</v>
      </c>
      <c r="G95" s="4">
        <v>2540</v>
      </c>
      <c r="H95" s="4" cm="1">
        <f t="array" ref="H95">IF(OR(Table1[[#This Row],[Stock Tickers]]="",Table1[[#This Row],[Action]]="Dividend"), "",IF(Table1[[#This Row],[Action]]="Buy",(SUMIFS($L$2:L95, $C$2:C95,Table1[[#This Row],[Stock Tickers]], $D$2:D95, "Buy") + Table1[[#This Row],[Amount]]) / ((SUMIFS($E$2:E95, $C$2:C95,Table1[[#This Row],[Stock Tickers]], $D$2:D95, "Buy") + Table1[[#This Row],[Lot ]])*100),LOOKUP(2, 1/($C$2:C95=Table1[[#This Row],[Stock Tickers]]), $G$2:G95)))</f>
        <v>2915.0046461666675</v>
      </c>
      <c r="I95" s="4"/>
      <c r="J95" s="5">
        <f>(Table1[[#This Row],[Lot ]]*100)*IF(Table1[[#This Row],[Action]]="Dividend",Table1[[#This Row],[Dividend per Share]],Table1[[#This Row],[Price]])</f>
        <v>1778000</v>
      </c>
      <c r="K95" s="5">
        <f>(exchange_fee+broker_fee)*J95</f>
        <v>3436.8740000000003</v>
      </c>
      <c r="L95" s="5">
        <f>SUM(Table1[[#This Row],[Amount]]:Table1[[#This Row],[Total Fee]])</f>
        <v>1781436.8740000001</v>
      </c>
      <c r="M95" s="8">
        <f>IF(OR(Table1[[#This Row],[Action]]="Buy",Table1[[#This Row],[Action]]="Withdraw"),-Table1[[#This Row],[Net Amount]],Table1[[#This Row],[Net Amount]])</f>
        <v>-1781436.8740000001</v>
      </c>
    </row>
    <row r="96" spans="1:13">
      <c r="A96" s="2">
        <v>45865</v>
      </c>
      <c r="B96" t="str">
        <f t="shared" si="2"/>
        <v>TX0095</v>
      </c>
      <c r="C96" s="3" t="s">
        <v>13</v>
      </c>
      <c r="D96" t="s">
        <v>12</v>
      </c>
      <c r="E96">
        <v>29</v>
      </c>
      <c r="F96" cm="1">
        <f t="array" ref="F96">_xlfn.IFS(Table1[[#This Row],[Action]]="Buy",Table1[[#This Row],[Lot ]],Table1[[#This Row],[Action]]="Sell",-Table1[[#This Row],[Lot ]],Table1[[#This Row],[Action]]="Dividend",0,TRUE,"")</f>
        <v>0</v>
      </c>
      <c r="G96" s="4"/>
      <c r="H96" s="4" t="str" cm="1">
        <f t="array" ref="H96">IF(OR(Table1[[#This Row],[Stock Tickers]]="",Table1[[#This Row],[Action]]="Dividend"), "",IF(Table1[[#This Row],[Action]]="Buy",(SUMIFS($L$2:L96, $C$2:C96,Table1[[#This Row],[Stock Tickers]], $D$2:D96, "Buy") + Table1[[#This Row],[Amount]]) / ((SUMIFS($E$2:E96, $C$2:C96,Table1[[#This Row],[Stock Tickers]], $D$2:D96, "Buy") + Table1[[#This Row],[Lot ]])*100),LOOKUP(2, 1/($C$2:C96=Table1[[#This Row],[Stock Tickers]]), $G$2:G96)))</f>
        <v/>
      </c>
      <c r="I96" s="4">
        <v>2245</v>
      </c>
      <c r="J96" s="5">
        <f>(Table1[[#This Row],[Lot ]]*100)*IF(Table1[[#This Row],[Action]]="Dividend",Table1[[#This Row],[Dividend per Share]],Table1[[#This Row],[Price]])</f>
        <v>6510500</v>
      </c>
      <c r="K96" s="5"/>
      <c r="L96" s="5">
        <f>SUM(Table1[[#This Row],[Amount]]:Table1[[#This Row],[Total Fee]])</f>
        <v>6510500</v>
      </c>
      <c r="M96" s="8">
        <f>IF(OR(Table1[[#This Row],[Action]]="Buy",Table1[[#This Row],[Action]]="Withdraw"),-Table1[[#This Row],[Net Amount]],Table1[[#This Row],[Net Amount]])</f>
        <v>6510500</v>
      </c>
    </row>
    <row r="97" spans="1:13">
      <c r="A97" s="2">
        <v>45872</v>
      </c>
      <c r="B97" t="str">
        <f t="shared" si="2"/>
        <v>TX0096</v>
      </c>
      <c r="C97" s="3" t="s">
        <v>11</v>
      </c>
      <c r="D97" t="s">
        <v>7</v>
      </c>
      <c r="E97">
        <v>13</v>
      </c>
      <c r="F97" cm="1">
        <f t="array" ref="F97">_xlfn.IFS(Table1[[#This Row],[Action]]="Buy",Table1[[#This Row],[Lot ]],Table1[[#This Row],[Action]]="Sell",-Table1[[#This Row],[Lot ]],Table1[[#This Row],[Action]]="Dividend",0,TRUE,"")</f>
        <v>13</v>
      </c>
      <c r="G97" s="4">
        <v>6540</v>
      </c>
      <c r="H97" s="4" cm="1">
        <f t="array" ref="H97">IF(OR(Table1[[#This Row],[Stock Tickers]]="",Table1[[#This Row],[Action]]="Dividend"), "",IF(Table1[[#This Row],[Action]]="Buy",(SUMIFS($L$2:L97, $C$2:C97,Table1[[#This Row],[Stock Tickers]], $D$2:D97, "Buy") + Table1[[#This Row],[Amount]]) / ((SUMIFS($E$2:E97, $C$2:C97,Table1[[#This Row],[Stock Tickers]], $D$2:D97, "Buy") + Table1[[#This Row],[Lot ]])*100),LOOKUP(2, 1/($C$2:C97=Table1[[#This Row],[Stock Tickers]]), $G$2:G97)))</f>
        <v>5340.7321168181825</v>
      </c>
      <c r="I97" s="4"/>
      <c r="J97" s="5">
        <f>(Table1[[#This Row],[Lot ]]*100)*IF(Table1[[#This Row],[Action]]="Dividend",Table1[[#This Row],[Dividend per Share]],Table1[[#This Row],[Price]])</f>
        <v>8502000</v>
      </c>
      <c r="K97" s="5">
        <f>(exchange_fee+broker_fee)*J97</f>
        <v>16434.366000000002</v>
      </c>
      <c r="L97" s="5">
        <f>SUM(Table1[[#This Row],[Amount]]:Table1[[#This Row],[Total Fee]])</f>
        <v>8518434.3660000004</v>
      </c>
      <c r="M97" s="8">
        <f>IF(OR(Table1[[#This Row],[Action]]="Buy",Table1[[#This Row],[Action]]="Withdraw"),-Table1[[#This Row],[Net Amount]],Table1[[#This Row],[Net Amount]])</f>
        <v>-8518434.3660000004</v>
      </c>
    </row>
    <row r="98" spans="1:13">
      <c r="A98" s="2">
        <v>45873</v>
      </c>
      <c r="B98" t="str">
        <f t="shared" si="2"/>
        <v>TX0097</v>
      </c>
      <c r="C98" s="3"/>
      <c r="D98" t="s">
        <v>5</v>
      </c>
      <c r="F98" t="str" cm="1">
        <f t="array" ref="F98">_xlfn.IFS(Table1[[#This Row],[Action]]="Buy",Table1[[#This Row],[Lot ]],Table1[[#This Row],[Action]]="Sell",-Table1[[#This Row],[Lot ]],Table1[[#This Row],[Action]]="Dividend",0,TRUE,"")</f>
        <v/>
      </c>
      <c r="G98" s="4"/>
      <c r="H98" s="4" t="str" cm="1">
        <f t="array" ref="H98">IF(OR(Table1[[#This Row],[Stock Tickers]]="",Table1[[#This Row],[Action]]="Dividend"), "",IF(Table1[[#This Row],[Action]]="Buy",(SUMIFS($L$2:L98, $C$2:C98,Table1[[#This Row],[Stock Tickers]], $D$2:D98, "Buy") + Table1[[#This Row],[Amount]]) / ((SUMIFS($E$2:E98, $C$2:C98,Table1[[#This Row],[Stock Tickers]], $D$2:D98, "Buy") + Table1[[#This Row],[Lot ]])*100),LOOKUP(2, 1/($C$2:C98=Table1[[#This Row],[Stock Tickers]]), $G$2:G98)))</f>
        <v/>
      </c>
      <c r="I98" s="4"/>
      <c r="J98" s="5">
        <v>10000000</v>
      </c>
      <c r="K98" s="5"/>
      <c r="L98" s="5">
        <f>SUM(Table1[[#This Row],[Amount]]:Table1[[#This Row],[Total Fee]])</f>
        <v>10000000</v>
      </c>
      <c r="M98" s="8">
        <f>IF(OR(Table1[[#This Row],[Action]]="Buy",Table1[[#This Row],[Action]]="Withdraw"),-Table1[[#This Row],[Net Amount]],Table1[[#This Row],[Net Amount]])</f>
        <v>10000000</v>
      </c>
    </row>
    <row r="99" spans="1:13">
      <c r="A99" s="2">
        <v>45885</v>
      </c>
      <c r="B99" t="str">
        <f t="shared" si="2"/>
        <v>TX0098</v>
      </c>
      <c r="C99" s="3" t="s">
        <v>10</v>
      </c>
      <c r="D99" t="s">
        <v>7</v>
      </c>
      <c r="E99">
        <v>36</v>
      </c>
      <c r="F99" cm="1">
        <f t="array" ref="F99">_xlfn.IFS(Table1[[#This Row],[Action]]="Buy",Table1[[#This Row],[Lot ]],Table1[[#This Row],[Action]]="Sell",-Table1[[#This Row],[Lot ]],Table1[[#This Row],[Action]]="Dividend",0,TRUE,"")</f>
        <v>36</v>
      </c>
      <c r="G99" s="4">
        <v>7730</v>
      </c>
      <c r="H99" s="4" cm="1">
        <f t="array" ref="H99">IF(OR(Table1[[#This Row],[Stock Tickers]]="",Table1[[#This Row],[Action]]="Dividend"), "",IF(Table1[[#This Row],[Action]]="Buy",(SUMIFS($L$2:L99, $C$2:C99,Table1[[#This Row],[Stock Tickers]], $D$2:D99, "Buy") + Table1[[#This Row],[Amount]]) / ((SUMIFS($E$2:E99, $C$2:C99,Table1[[#This Row],[Stock Tickers]], $D$2:D99, "Buy") + Table1[[#This Row],[Lot ]])*100),LOOKUP(2, 1/($C$2:C99=Table1[[#This Row],[Stock Tickers]]), $G$2:G99)))</f>
        <v>7145.6312797972987</v>
      </c>
      <c r="I99" s="4"/>
      <c r="J99" s="5">
        <f>(Table1[[#This Row],[Lot ]]*100)*IF(Table1[[#This Row],[Action]]="Dividend",Table1[[#This Row],[Dividend per Share]],Table1[[#This Row],[Price]])</f>
        <v>27828000</v>
      </c>
      <c r="K99" s="5">
        <f>(exchange_fee+broker_fee)*J99</f>
        <v>53791.523999999998</v>
      </c>
      <c r="L99" s="5">
        <f>SUM(Table1[[#This Row],[Amount]]:Table1[[#This Row],[Total Fee]])</f>
        <v>27881791.524</v>
      </c>
      <c r="M99" s="8">
        <f>IF(OR(Table1[[#This Row],[Action]]="Buy",Table1[[#This Row],[Action]]="Withdraw"),-Table1[[#This Row],[Net Amount]],Table1[[#This Row],[Net Amount]])</f>
        <v>-27881791.524</v>
      </c>
    </row>
    <row r="100" spans="1:13">
      <c r="A100" s="2">
        <v>45885</v>
      </c>
      <c r="B100" t="str">
        <f t="shared" si="2"/>
        <v>TX0099</v>
      </c>
      <c r="C100" s="3" t="s">
        <v>9</v>
      </c>
      <c r="D100" t="s">
        <v>15</v>
      </c>
      <c r="E100">
        <v>8</v>
      </c>
      <c r="F100" cm="1">
        <f t="array" ref="F100">_xlfn.IFS(Table1[[#This Row],[Action]]="Buy",Table1[[#This Row],[Lot ]],Table1[[#This Row],[Action]]="Sell",-Table1[[#This Row],[Lot ]],Table1[[#This Row],[Action]]="Dividend",0,TRUE,"")</f>
        <v>-8</v>
      </c>
      <c r="G100" s="4">
        <v>3460</v>
      </c>
      <c r="H100" s="4" cm="1">
        <f t="array" ref="H100">IF(OR(Table1[[#This Row],[Stock Tickers]]="",Table1[[#This Row],[Action]]="Dividend"), "",IF(Table1[[#This Row],[Action]]="Buy",(SUMIFS($L$2:L100, $C$2:C100,Table1[[#This Row],[Stock Tickers]], $D$2:D100, "Buy") + Table1[[#This Row],[Amount]]) / ((SUMIFS($E$2:E100, $C$2:C100,Table1[[#This Row],[Stock Tickers]], $D$2:D100, "Buy") + Table1[[#This Row],[Lot ]])*100),LOOKUP(2, 1/($C$2:C100=Table1[[#This Row],[Stock Tickers]]), $G$2:G100)))</f>
        <v>3460</v>
      </c>
      <c r="I100" s="4"/>
      <c r="J100" s="5">
        <f>(Table1[[#This Row],[Lot ]]*100)*IF(Table1[[#This Row],[Action]]="Dividend",Table1[[#This Row],[Dividend per Share]],Table1[[#This Row],[Price]])</f>
        <v>2768000</v>
      </c>
      <c r="K100" s="5">
        <f>(exchange_fee+broker_fee)*J100</f>
        <v>5350.5439999999999</v>
      </c>
      <c r="L100" s="5">
        <f>SUM(Table1[[#This Row],[Amount]]:Table1[[#This Row],[Total Fee]])</f>
        <v>2773350.5440000002</v>
      </c>
      <c r="M100" s="8">
        <f>IF(OR(Table1[[#This Row],[Action]]="Buy",Table1[[#This Row],[Action]]="Withdraw"),-Table1[[#This Row],[Net Amount]],Table1[[#This Row],[Net Amount]])</f>
        <v>2773350.5440000002</v>
      </c>
    </row>
    <row r="101" spans="1:13">
      <c r="A101" s="2">
        <v>45887</v>
      </c>
      <c r="B101" t="str">
        <f t="shared" si="2"/>
        <v>TX0100</v>
      </c>
      <c r="C101" s="3" t="s">
        <v>14</v>
      </c>
      <c r="D101" t="s">
        <v>7</v>
      </c>
      <c r="E101">
        <v>10</v>
      </c>
      <c r="F101" cm="1">
        <f t="array" ref="F101">_xlfn.IFS(Table1[[#This Row],[Action]]="Buy",Table1[[#This Row],[Lot ]],Table1[[#This Row],[Action]]="Sell",-Table1[[#This Row],[Lot ]],Table1[[#This Row],[Action]]="Dividend",0,TRUE,"")</f>
        <v>10</v>
      </c>
      <c r="G101" s="4">
        <v>7950</v>
      </c>
      <c r="H101" s="4" cm="1">
        <f t="array" ref="H101">IF(OR(Table1[[#This Row],[Stock Tickers]]="",Table1[[#This Row],[Action]]="Dividend"), "",IF(Table1[[#This Row],[Action]]="Buy",(SUMIFS($L$2:L101, $C$2:C101,Table1[[#This Row],[Stock Tickers]], $D$2:D101, "Buy") + Table1[[#This Row],[Amount]]) / ((SUMIFS($E$2:E101, $C$2:C101,Table1[[#This Row],[Stock Tickers]], $D$2:D101, "Buy") + Table1[[#This Row],[Lot ]])*100),LOOKUP(2, 1/($C$2:C101=Table1[[#This Row],[Stock Tickers]]), $G$2:G101)))</f>
        <v>7294.5971062921344</v>
      </c>
      <c r="I101" s="4"/>
      <c r="J101" s="5">
        <f>(Table1[[#This Row],[Lot ]]*100)*IF(Table1[[#This Row],[Action]]="Dividend",Table1[[#This Row],[Dividend per Share]],Table1[[#This Row],[Price]])</f>
        <v>7950000</v>
      </c>
      <c r="K101" s="5">
        <f>(exchange_fee+broker_fee)*J101</f>
        <v>15367.35</v>
      </c>
      <c r="L101" s="5">
        <f>SUM(Table1[[#This Row],[Amount]]:Table1[[#This Row],[Total Fee]])</f>
        <v>7965367.3499999996</v>
      </c>
      <c r="M101" s="8">
        <f>IF(OR(Table1[[#This Row],[Action]]="Buy",Table1[[#This Row],[Action]]="Withdraw"),-Table1[[#This Row],[Net Amount]],Table1[[#This Row],[Net Amount]])</f>
        <v>-7965367.3499999996</v>
      </c>
    </row>
    <row r="102" spans="1:13">
      <c r="A102" s="2">
        <v>45906</v>
      </c>
      <c r="B102" t="str">
        <f t="shared" si="2"/>
        <v>TX0101</v>
      </c>
      <c r="C102" s="3" t="s">
        <v>19</v>
      </c>
      <c r="D102" t="s">
        <v>7</v>
      </c>
      <c r="E102">
        <v>8</v>
      </c>
      <c r="F102" cm="1">
        <f t="array" ref="F102">_xlfn.IFS(Table1[[#This Row],[Action]]="Buy",Table1[[#This Row],[Lot ]],Table1[[#This Row],[Action]]="Sell",-Table1[[#This Row],[Lot ]],Table1[[#This Row],[Action]]="Dividend",0,TRUE,"")</f>
        <v>8</v>
      </c>
      <c r="G102" s="4">
        <v>6675</v>
      </c>
      <c r="H102" s="4" cm="1">
        <f t="array" ref="H102">IF(OR(Table1[[#This Row],[Stock Tickers]]="",Table1[[#This Row],[Action]]="Dividend"), "",IF(Table1[[#This Row],[Action]]="Buy",(SUMIFS($L$2:L102, $C$2:C102,Table1[[#This Row],[Stock Tickers]], $D$2:D102, "Buy") + Table1[[#This Row],[Amount]]) / ((SUMIFS($E$2:E102, $C$2:C102,Table1[[#This Row],[Stock Tickers]], $D$2:D102, "Buy") + Table1[[#This Row],[Lot ]])*100),LOOKUP(2, 1/($C$2:C102=Table1[[#This Row],[Stock Tickers]]), $G$2:G102)))</f>
        <v>6849.9762654761898</v>
      </c>
      <c r="I102" s="4"/>
      <c r="J102" s="5">
        <f>(Table1[[#This Row],[Lot ]]*100)*IF(Table1[[#This Row],[Action]]="Dividend",Table1[[#This Row],[Dividend per Share]],Table1[[#This Row],[Price]])</f>
        <v>5340000</v>
      </c>
      <c r="K102" s="5">
        <f>(exchange_fee+broker_fee)*J102</f>
        <v>10322.219999999999</v>
      </c>
      <c r="L102" s="5">
        <f>SUM(Table1[[#This Row],[Amount]]:Table1[[#This Row],[Total Fee]])</f>
        <v>5350322.22</v>
      </c>
      <c r="M102" s="8">
        <f>IF(OR(Table1[[#This Row],[Action]]="Buy",Table1[[#This Row],[Action]]="Withdraw"),-Table1[[#This Row],[Net Amount]],Table1[[#This Row],[Net Amount]])</f>
        <v>-5350322.22</v>
      </c>
    </row>
    <row r="103" spans="1:13">
      <c r="A103" s="2">
        <v>45908</v>
      </c>
      <c r="B103" t="str">
        <f t="shared" si="2"/>
        <v>TX0102</v>
      </c>
      <c r="C103" s="3" t="s">
        <v>6</v>
      </c>
      <c r="D103" t="s">
        <v>12</v>
      </c>
      <c r="E103">
        <v>232</v>
      </c>
      <c r="F103" cm="1">
        <f t="array" ref="F103">_xlfn.IFS(Table1[[#This Row],[Action]]="Buy",Table1[[#This Row],[Lot ]],Table1[[#This Row],[Action]]="Sell",-Table1[[#This Row],[Lot ]],Table1[[#This Row],[Action]]="Dividend",0,TRUE,"")</f>
        <v>0</v>
      </c>
      <c r="G103" s="4"/>
      <c r="H103" s="4" t="str" cm="1">
        <f t="array" ref="H103">IF(OR(Table1[[#This Row],[Stock Tickers]]="",Table1[[#This Row],[Action]]="Dividend"), "",IF(Table1[[#This Row],[Action]]="Buy",(SUMIFS($L$2:L103, $C$2:C103,Table1[[#This Row],[Stock Tickers]], $D$2:D103, "Buy") + Table1[[#This Row],[Amount]]) / ((SUMIFS($E$2:E103, $C$2:C103,Table1[[#This Row],[Stock Tickers]], $D$2:D103, "Buy") + Table1[[#This Row],[Lot ]])*100),LOOKUP(2, 1/($C$2:C103=Table1[[#This Row],[Stock Tickers]]), $G$2:G103)))</f>
        <v/>
      </c>
      <c r="I103" s="4">
        <v>345</v>
      </c>
      <c r="J103" s="5">
        <f>(Table1[[#This Row],[Lot ]]*100)*IF(Table1[[#This Row],[Action]]="Dividend",Table1[[#This Row],[Dividend per Share]],Table1[[#This Row],[Price]])</f>
        <v>8004000</v>
      </c>
      <c r="K103" s="5"/>
      <c r="L103" s="5">
        <f>SUM(Table1[[#This Row],[Amount]]:Table1[[#This Row],[Total Fee]])</f>
        <v>8004000</v>
      </c>
      <c r="M103" s="8">
        <f>IF(OR(Table1[[#This Row],[Action]]="Buy",Table1[[#This Row],[Action]]="Withdraw"),-Table1[[#This Row],[Net Amount]],Table1[[#This Row],[Net Amount]])</f>
        <v>8004000</v>
      </c>
    </row>
    <row r="104" spans="1:13">
      <c r="A104" s="2">
        <v>45918</v>
      </c>
      <c r="B104" t="str">
        <f t="shared" si="2"/>
        <v>TX0103</v>
      </c>
      <c r="C104" s="3" t="s">
        <v>8</v>
      </c>
      <c r="D104" t="s">
        <v>7</v>
      </c>
      <c r="E104">
        <v>11</v>
      </c>
      <c r="F104" cm="1">
        <f t="array" ref="F104">_xlfn.IFS(Table1[[#This Row],[Action]]="Buy",Table1[[#This Row],[Lot ]],Table1[[#This Row],[Action]]="Sell",-Table1[[#This Row],[Lot ]],Table1[[#This Row],[Action]]="Dividend",0,TRUE,"")</f>
        <v>11</v>
      </c>
      <c r="G104" s="4">
        <v>2880</v>
      </c>
      <c r="H104" s="4" cm="1">
        <f t="array" ref="H104">IF(OR(Table1[[#This Row],[Stock Tickers]]="",Table1[[#This Row],[Action]]="Dividend"), "",IF(Table1[[#This Row],[Action]]="Buy",(SUMIFS($L$2:L104, $C$2:C104,Table1[[#This Row],[Stock Tickers]], $D$2:D104, "Buy") + Table1[[#This Row],[Amount]]) / ((SUMIFS($E$2:E104, $C$2:C104,Table1[[#This Row],[Stock Tickers]], $D$2:D104, "Buy") + Table1[[#This Row],[Lot ]])*100),LOOKUP(2, 1/($C$2:C104=Table1[[#This Row],[Stock Tickers]]), $G$2:G104)))</f>
        <v>2929.1984813333338</v>
      </c>
      <c r="I104" s="4"/>
      <c r="J104" s="5">
        <f>(Table1[[#This Row],[Lot ]]*100)*IF(Table1[[#This Row],[Action]]="Dividend",Table1[[#This Row],[Dividend per Share]],Table1[[#This Row],[Price]])</f>
        <v>3168000</v>
      </c>
      <c r="K104" s="5">
        <f>(exchange_fee+broker_fee)*J104</f>
        <v>6123.7439999999997</v>
      </c>
      <c r="L104" s="5">
        <f>SUM(Table1[[#This Row],[Amount]]:Table1[[#This Row],[Total Fee]])</f>
        <v>3174123.7439999999</v>
      </c>
      <c r="M104" s="8">
        <f>IF(OR(Table1[[#This Row],[Action]]="Buy",Table1[[#This Row],[Action]]="Withdraw"),-Table1[[#This Row],[Net Amount]],Table1[[#This Row],[Net Amount]])</f>
        <v>-3174123.7439999999</v>
      </c>
    </row>
    <row r="105" spans="1:13">
      <c r="A105" s="2">
        <v>45926</v>
      </c>
      <c r="B105" t="str">
        <f t="shared" si="2"/>
        <v>TX0104</v>
      </c>
      <c r="C105" s="3" t="s">
        <v>18</v>
      </c>
      <c r="D105" t="s">
        <v>7</v>
      </c>
      <c r="E105">
        <v>19</v>
      </c>
      <c r="F105" cm="1">
        <f t="array" ref="F105">_xlfn.IFS(Table1[[#This Row],[Action]]="Buy",Table1[[#This Row],[Lot ]],Table1[[#This Row],[Action]]="Sell",-Table1[[#This Row],[Lot ]],Table1[[#This Row],[Action]]="Dividend",0,TRUE,"")</f>
        <v>19</v>
      </c>
      <c r="G105" s="4">
        <v>4280</v>
      </c>
      <c r="H105" s="4" cm="1">
        <f t="array" ref="H105">IF(OR(Table1[[#This Row],[Stock Tickers]]="",Table1[[#This Row],[Action]]="Dividend"), "",IF(Table1[[#This Row],[Action]]="Buy",(SUMIFS($L$2:L105, $C$2:C105,Table1[[#This Row],[Stock Tickers]], $D$2:D105, "Buy") + Table1[[#This Row],[Amount]]) / ((SUMIFS($E$2:E105, $C$2:C105,Table1[[#This Row],[Stock Tickers]], $D$2:D105, "Buy") + Table1[[#This Row],[Lot ]])*100),LOOKUP(2, 1/($C$2:C105=Table1[[#This Row],[Stock Tickers]]), $G$2:G105)))</f>
        <v>4810.6001834920635</v>
      </c>
      <c r="I105" s="4"/>
      <c r="J105" s="5">
        <f>(Table1[[#This Row],[Lot ]]*100)*IF(Table1[[#This Row],[Action]]="Dividend",Table1[[#This Row],[Dividend per Share]],Table1[[#This Row],[Price]])</f>
        <v>8132000</v>
      </c>
      <c r="K105" s="5">
        <f>(exchange_fee+broker_fee)*J105</f>
        <v>15719.156000000001</v>
      </c>
      <c r="L105" s="5">
        <f>SUM(Table1[[#This Row],[Amount]]:Table1[[#This Row],[Total Fee]])</f>
        <v>8147719.1560000004</v>
      </c>
      <c r="M105" s="8">
        <f>IF(OR(Table1[[#This Row],[Action]]="Buy",Table1[[#This Row],[Action]]="Withdraw"),-Table1[[#This Row],[Net Amount]],Table1[[#This Row],[Net Amount]])</f>
        <v>-8147719.1560000004</v>
      </c>
    </row>
    <row r="106" spans="1:13">
      <c r="A106" s="2">
        <v>45926</v>
      </c>
      <c r="B106" t="str">
        <f t="shared" si="2"/>
        <v>TX0105</v>
      </c>
      <c r="C106" s="3" t="s">
        <v>19</v>
      </c>
      <c r="D106" t="s">
        <v>15</v>
      </c>
      <c r="E106">
        <v>10</v>
      </c>
      <c r="F106" cm="1">
        <f t="array" ref="F106">_xlfn.IFS(Table1[[#This Row],[Action]]="Buy",Table1[[#This Row],[Lot ]],Table1[[#This Row],[Action]]="Sell",-Table1[[#This Row],[Lot ]],Table1[[#This Row],[Action]]="Dividend",0,TRUE,"")</f>
        <v>-10</v>
      </c>
      <c r="G106" s="4">
        <v>8525</v>
      </c>
      <c r="H106" s="4" cm="1">
        <f t="array" ref="H106">IF(OR(Table1[[#This Row],[Stock Tickers]]="",Table1[[#This Row],[Action]]="Dividend"), "",IF(Table1[[#This Row],[Action]]="Buy",(SUMIFS($L$2:L106, $C$2:C106,Table1[[#This Row],[Stock Tickers]], $D$2:D106, "Buy") + Table1[[#This Row],[Amount]]) / ((SUMIFS($E$2:E106, $C$2:C106,Table1[[#This Row],[Stock Tickers]], $D$2:D106, "Buy") + Table1[[#This Row],[Lot ]])*100),LOOKUP(2, 1/($C$2:C106=Table1[[#This Row],[Stock Tickers]]), $G$2:G106)))</f>
        <v>8525</v>
      </c>
      <c r="I106" s="4"/>
      <c r="J106" s="5">
        <f>(Table1[[#This Row],[Lot ]]*100)*IF(Table1[[#This Row],[Action]]="Dividend",Table1[[#This Row],[Dividend per Share]],Table1[[#This Row],[Price]])</f>
        <v>8525000</v>
      </c>
      <c r="K106" s="5">
        <f>(exchange_fee+broker_fee)*J106</f>
        <v>16478.825000000001</v>
      </c>
      <c r="L106" s="5">
        <f>SUM(Table1[[#This Row],[Amount]]:Table1[[#This Row],[Total Fee]])</f>
        <v>8541478.8249999993</v>
      </c>
      <c r="M106" s="8">
        <f>IF(OR(Table1[[#This Row],[Action]]="Buy",Table1[[#This Row],[Action]]="Withdraw"),-Table1[[#This Row],[Net Amount]],Table1[[#This Row],[Net Amount]])</f>
        <v>8541478.8249999993</v>
      </c>
    </row>
    <row r="107" spans="1:13">
      <c r="A107" s="2">
        <v>45927</v>
      </c>
      <c r="B107" t="str">
        <f t="shared" si="2"/>
        <v>TX0106</v>
      </c>
      <c r="C107" s="3" t="s">
        <v>11</v>
      </c>
      <c r="D107" t="s">
        <v>7</v>
      </c>
      <c r="E107">
        <v>12</v>
      </c>
      <c r="F107" cm="1">
        <f t="array" ref="F107">_xlfn.IFS(Table1[[#This Row],[Action]]="Buy",Table1[[#This Row],[Lot ]],Table1[[#This Row],[Action]]="Sell",-Table1[[#This Row],[Lot ]],Table1[[#This Row],[Action]]="Dividend",0,TRUE,"")</f>
        <v>12</v>
      </c>
      <c r="G107" s="4">
        <v>6830</v>
      </c>
      <c r="H107" s="4" cm="1">
        <f t="array" ref="H107">IF(OR(Table1[[#This Row],[Stock Tickers]]="",Table1[[#This Row],[Action]]="Dividend"), "",IF(Table1[[#This Row],[Action]]="Buy",(SUMIFS($L$2:L107, $C$2:C107,Table1[[#This Row],[Stock Tickers]], $D$2:D107, "Buy") + Table1[[#This Row],[Amount]]) / ((SUMIFS($E$2:E107, $C$2:C107,Table1[[#This Row],[Stock Tickers]], $D$2:D107, "Buy") + Table1[[#This Row],[Lot ]])*100),LOOKUP(2, 1/($C$2:C107=Table1[[#This Row],[Stock Tickers]]), $G$2:G107)))</f>
        <v>5463.8253010303033</v>
      </c>
      <c r="I107" s="4"/>
      <c r="J107" s="5">
        <f>(Table1[[#This Row],[Lot ]]*100)*IF(Table1[[#This Row],[Action]]="Dividend",Table1[[#This Row],[Dividend per Share]],Table1[[#This Row],[Price]])</f>
        <v>8196000</v>
      </c>
      <c r="K107" s="5">
        <f>(exchange_fee+broker_fee)*J107</f>
        <v>15842.868</v>
      </c>
      <c r="L107" s="5">
        <f>SUM(Table1[[#This Row],[Amount]]:Table1[[#This Row],[Total Fee]])</f>
        <v>8211842.8679999998</v>
      </c>
      <c r="M107" s="8">
        <f>IF(OR(Table1[[#This Row],[Action]]="Buy",Table1[[#This Row],[Action]]="Withdraw"),-Table1[[#This Row],[Net Amount]],Table1[[#This Row],[Net Amount]])</f>
        <v>-8211842.8679999998</v>
      </c>
    </row>
    <row r="108" spans="1:13">
      <c r="A108" s="2">
        <v>45939</v>
      </c>
      <c r="B108" t="str">
        <f t="shared" si="2"/>
        <v>TX0107</v>
      </c>
      <c r="C108" s="3" t="s">
        <v>10</v>
      </c>
      <c r="D108" t="s">
        <v>7</v>
      </c>
      <c r="E108">
        <v>7</v>
      </c>
      <c r="F108" cm="1">
        <f t="array" ref="F108">_xlfn.IFS(Table1[[#This Row],[Action]]="Buy",Table1[[#This Row],[Lot ]],Table1[[#This Row],[Action]]="Sell",-Table1[[#This Row],[Lot ]],Table1[[#This Row],[Action]]="Dividend",0,TRUE,"")</f>
        <v>7</v>
      </c>
      <c r="G108" s="4">
        <v>6350</v>
      </c>
      <c r="H108" s="4" cm="1">
        <f t="array" ref="H108">IF(OR(Table1[[#This Row],[Stock Tickers]]="",Table1[[#This Row],[Action]]="Dividend"), "",IF(Table1[[#This Row],[Action]]="Buy",(SUMIFS($L$2:L108, $C$2:C108,Table1[[#This Row],[Stock Tickers]], $D$2:D108, "Buy") + Table1[[#This Row],[Amount]]) / ((SUMIFS($E$2:E108, $C$2:C108,Table1[[#This Row],[Stock Tickers]], $D$2:D108, "Buy") + Table1[[#This Row],[Lot ]])*100),LOOKUP(2, 1/($C$2:C108=Table1[[#This Row],[Stock Tickers]]), $G$2:G108)))</f>
        <v>6890.9472322222236</v>
      </c>
      <c r="I108" s="4"/>
      <c r="J108" s="5">
        <f>(Table1[[#This Row],[Lot ]]*100)*IF(Table1[[#This Row],[Action]]="Dividend",Table1[[#This Row],[Dividend per Share]],Table1[[#This Row],[Price]])</f>
        <v>4445000</v>
      </c>
      <c r="K108" s="5">
        <f>(exchange_fee+broker_fee)*J108</f>
        <v>8592.1849999999995</v>
      </c>
      <c r="L108" s="5">
        <f>SUM(Table1[[#This Row],[Amount]]:Table1[[#This Row],[Total Fee]])</f>
        <v>4453592.1849999996</v>
      </c>
      <c r="M108" s="8">
        <f>IF(OR(Table1[[#This Row],[Action]]="Buy",Table1[[#This Row],[Action]]="Withdraw"),-Table1[[#This Row],[Net Amount]],Table1[[#This Row],[Net Amount]])</f>
        <v>-4453592.1849999996</v>
      </c>
    </row>
    <row r="109" spans="1:13">
      <c r="A109" s="2">
        <v>45909</v>
      </c>
      <c r="B109" t="str">
        <f t="shared" si="2"/>
        <v>TX0108</v>
      </c>
      <c r="C109" s="3" t="s">
        <v>9</v>
      </c>
      <c r="D109" t="s">
        <v>12</v>
      </c>
      <c r="E109">
        <v>312</v>
      </c>
      <c r="F109" cm="1">
        <f t="array" ref="F109">_xlfn.IFS(Table1[[#This Row],[Action]]="Buy",Table1[[#This Row],[Lot ]],Table1[[#This Row],[Action]]="Sell",-Table1[[#This Row],[Lot ]],Table1[[#This Row],[Action]]="Dividend",0,TRUE,"")</f>
        <v>0</v>
      </c>
      <c r="G109" s="4"/>
      <c r="H109" s="4" t="str" cm="1">
        <f t="array" ref="H109">IF(OR(Table1[[#This Row],[Stock Tickers]]="",Table1[[#This Row],[Action]]="Dividend"), "",IF(Table1[[#This Row],[Action]]="Buy",(SUMIFS($L$2:L109, $C$2:C109,Table1[[#This Row],[Stock Tickers]], $D$2:D109, "Buy") + Table1[[#This Row],[Amount]]) / ((SUMIFS($E$2:E109, $C$2:C109,Table1[[#This Row],[Stock Tickers]], $D$2:D109, "Buy") + Table1[[#This Row],[Lot ]])*100),LOOKUP(2, 1/($C$2:C109=Table1[[#This Row],[Stock Tickers]]), $G$2:G109)))</f>
        <v/>
      </c>
      <c r="I109" s="4">
        <v>311</v>
      </c>
      <c r="J109" s="5">
        <f>(Table1[[#This Row],[Lot ]]*100)*IF(Table1[[#This Row],[Action]]="Dividend",Table1[[#This Row],[Dividend per Share]],Table1[[#This Row],[Price]])</f>
        <v>9703200</v>
      </c>
      <c r="K109" s="5"/>
      <c r="L109" s="5">
        <f>SUM(Table1[[#This Row],[Amount]]:Table1[[#This Row],[Total Fee]])</f>
        <v>9703200</v>
      </c>
      <c r="M109" s="8">
        <f>IF(OR(Table1[[#This Row],[Action]]="Buy",Table1[[#This Row],[Action]]="Withdraw"),-Table1[[#This Row],[Net Amount]],Table1[[#This Row],[Net Amount]])</f>
        <v>9703200</v>
      </c>
    </row>
    <row r="110" spans="1:13">
      <c r="A110" s="2">
        <v>45941</v>
      </c>
      <c r="B110" t="str">
        <f t="shared" si="2"/>
        <v>TX0109</v>
      </c>
      <c r="C110" s="3" t="s">
        <v>19</v>
      </c>
      <c r="D110" t="s">
        <v>12</v>
      </c>
      <c r="E110">
        <v>5</v>
      </c>
      <c r="F110" cm="1">
        <f t="array" ref="F110">_xlfn.IFS(Table1[[#This Row],[Action]]="Buy",Table1[[#This Row],[Lot ]],Table1[[#This Row],[Action]]="Sell",-Table1[[#This Row],[Lot ]],Table1[[#This Row],[Action]]="Dividend",0,TRUE,"")</f>
        <v>0</v>
      </c>
      <c r="G110" s="4"/>
      <c r="H110" s="4" t="str" cm="1">
        <f t="array" ref="H110">IF(OR(Table1[[#This Row],[Stock Tickers]]="",Table1[[#This Row],[Action]]="Dividend"), "",IF(Table1[[#This Row],[Action]]="Buy",(SUMIFS($L$2:L110, $C$2:C110,Table1[[#This Row],[Stock Tickers]], $D$2:D110, "Buy") + Table1[[#This Row],[Amount]]) / ((SUMIFS($E$2:E110, $C$2:C110,Table1[[#This Row],[Stock Tickers]], $D$2:D110, "Buy") + Table1[[#This Row],[Lot ]])*100),LOOKUP(2, 1/($C$2:C110=Table1[[#This Row],[Stock Tickers]]), $G$2:G110)))</f>
        <v/>
      </c>
      <c r="I110" s="4">
        <v>280</v>
      </c>
      <c r="J110" s="5">
        <f>(Table1[[#This Row],[Lot ]]*100)*IF(Table1[[#This Row],[Action]]="Dividend",Table1[[#This Row],[Dividend per Share]],Table1[[#This Row],[Price]])</f>
        <v>140000</v>
      </c>
      <c r="K110" s="5"/>
      <c r="L110" s="5">
        <f>SUM(Table1[[#This Row],[Amount]]:Table1[[#This Row],[Total Fee]])</f>
        <v>140000</v>
      </c>
      <c r="M110" s="8">
        <f>IF(OR(Table1[[#This Row],[Action]]="Buy",Table1[[#This Row],[Action]]="Withdraw"),-Table1[[#This Row],[Net Amount]],Table1[[#This Row],[Net Amount]])</f>
        <v>140000</v>
      </c>
    </row>
    <row r="111" spans="1:13">
      <c r="A111" s="2">
        <v>45945</v>
      </c>
      <c r="B111" t="str">
        <f t="shared" si="2"/>
        <v>TX0110</v>
      </c>
      <c r="C111" s="3" t="s">
        <v>14</v>
      </c>
      <c r="D111" t="s">
        <v>7</v>
      </c>
      <c r="E111">
        <v>16</v>
      </c>
      <c r="F111" cm="1">
        <f t="array" ref="F111">_xlfn.IFS(Table1[[#This Row],[Action]]="Buy",Table1[[#This Row],[Lot ]],Table1[[#This Row],[Action]]="Sell",-Table1[[#This Row],[Lot ]],Table1[[#This Row],[Action]]="Dividend",0,TRUE,"")</f>
        <v>16</v>
      </c>
      <c r="G111" s="4">
        <v>7240</v>
      </c>
      <c r="H111" s="4" cm="1">
        <f t="array" ref="H111">IF(OR(Table1[[#This Row],[Stock Tickers]]="",Table1[[#This Row],[Action]]="Dividend"), "",IF(Table1[[#This Row],[Action]]="Buy",(SUMIFS($L$2:L111, $C$2:C111,Table1[[#This Row],[Stock Tickers]], $D$2:D111, "Buy") + Table1[[#This Row],[Amount]]) / ((SUMIFS($E$2:E111, $C$2:C111,Table1[[#This Row],[Stock Tickers]], $D$2:D111, "Buy") + Table1[[#This Row],[Lot ]])*100),LOOKUP(2, 1/($C$2:C111=Table1[[#This Row],[Stock Tickers]]), $G$2:G111)))</f>
        <v>7221.8293800000001</v>
      </c>
      <c r="I111" s="4"/>
      <c r="J111" s="5">
        <f>(Table1[[#This Row],[Lot ]]*100)*IF(Table1[[#This Row],[Action]]="Dividend",Table1[[#This Row],[Dividend per Share]],Table1[[#This Row],[Price]])</f>
        <v>11584000</v>
      </c>
      <c r="K111" s="5">
        <f>(exchange_fee+broker_fee)*J111</f>
        <v>22391.871999999999</v>
      </c>
      <c r="L111" s="5">
        <f>SUM(Table1[[#This Row],[Amount]]:Table1[[#This Row],[Total Fee]])</f>
        <v>11606391.872</v>
      </c>
      <c r="M111" s="8">
        <f>IF(OR(Table1[[#This Row],[Action]]="Buy",Table1[[#This Row],[Action]]="Withdraw"),-Table1[[#This Row],[Net Amount]],Table1[[#This Row],[Net Amount]])</f>
        <v>-11606391.872</v>
      </c>
    </row>
    <row r="112" spans="1:13">
      <c r="A112" s="2">
        <v>45953</v>
      </c>
      <c r="B112" t="str">
        <f t="shared" si="2"/>
        <v>TX0111</v>
      </c>
      <c r="C112" s="3" t="s">
        <v>6</v>
      </c>
      <c r="D112" t="s">
        <v>15</v>
      </c>
      <c r="E112">
        <v>15</v>
      </c>
      <c r="F112" cm="1">
        <f t="array" ref="F112">_xlfn.IFS(Table1[[#This Row],[Action]]="Buy",Table1[[#This Row],[Lot ]],Table1[[#This Row],[Action]]="Sell",-Table1[[#This Row],[Lot ]],Table1[[#This Row],[Action]]="Dividend",0,TRUE,"")</f>
        <v>-15</v>
      </c>
      <c r="G112" s="4">
        <v>6100</v>
      </c>
      <c r="H112" s="4" cm="1">
        <f t="array" ref="H112">IF(OR(Table1[[#This Row],[Stock Tickers]]="",Table1[[#This Row],[Action]]="Dividend"), "",IF(Table1[[#This Row],[Action]]="Buy",(SUMIFS($L$2:L112, $C$2:C112,Table1[[#This Row],[Stock Tickers]], $D$2:D112, "Buy") + Table1[[#This Row],[Amount]]) / ((SUMIFS($E$2:E112, $C$2:C112,Table1[[#This Row],[Stock Tickers]], $D$2:D112, "Buy") + Table1[[#This Row],[Lot ]])*100),LOOKUP(2, 1/($C$2:C112=Table1[[#This Row],[Stock Tickers]]), $G$2:G112)))</f>
        <v>6100</v>
      </c>
      <c r="I112" s="4"/>
      <c r="J112" s="5">
        <f>(Table1[[#This Row],[Lot ]]*100)*IF(Table1[[#This Row],[Action]]="Dividend",Table1[[#This Row],[Dividend per Share]],Table1[[#This Row],[Price]])</f>
        <v>9150000</v>
      </c>
      <c r="K112" s="5">
        <f>(exchange_fee+broker_fee)*J112</f>
        <v>17686.95</v>
      </c>
      <c r="L112" s="5">
        <f>SUM(Table1[[#This Row],[Amount]]:Table1[[#This Row],[Total Fee]])</f>
        <v>9167686.9499999993</v>
      </c>
      <c r="M112" s="8">
        <f>IF(OR(Table1[[#This Row],[Action]]="Buy",Table1[[#This Row],[Action]]="Withdraw"),-Table1[[#This Row],[Net Amount]],Table1[[#This Row],[Net Amount]])</f>
        <v>9167686.9499999993</v>
      </c>
    </row>
    <row r="113" spans="1:13">
      <c r="A113" s="2">
        <v>45959</v>
      </c>
      <c r="B113" t="str">
        <f t="shared" si="2"/>
        <v>TX0112</v>
      </c>
      <c r="C113" s="3" t="s">
        <v>18</v>
      </c>
      <c r="D113" t="s">
        <v>7</v>
      </c>
      <c r="E113">
        <v>5</v>
      </c>
      <c r="F113" cm="1">
        <f t="array" ref="F113">_xlfn.IFS(Table1[[#This Row],[Action]]="Buy",Table1[[#This Row],[Lot ]],Table1[[#This Row],[Action]]="Sell",-Table1[[#This Row],[Lot ]],Table1[[#This Row],[Action]]="Dividend",0,TRUE,"")</f>
        <v>5</v>
      </c>
      <c r="G113" s="4">
        <v>8930</v>
      </c>
      <c r="H113" s="4" cm="1">
        <f t="array" ref="H113">IF(OR(Table1[[#This Row],[Stock Tickers]]="",Table1[[#This Row],[Action]]="Dividend"), "",IF(Table1[[#This Row],[Action]]="Buy",(SUMIFS($L$2:L113, $C$2:C113,Table1[[#This Row],[Stock Tickers]], $D$2:D113, "Buy") + Table1[[#This Row],[Amount]]) / ((SUMIFS($E$2:E113, $C$2:C113,Table1[[#This Row],[Stock Tickers]], $D$2:D113, "Buy") + Table1[[#This Row],[Lot ]])*100),LOOKUP(2, 1/($C$2:C113=Table1[[#This Row],[Stock Tickers]]), $G$2:G113)))</f>
        <v>5761.7429631481482</v>
      </c>
      <c r="I113" s="4"/>
      <c r="J113" s="5">
        <f>(Table1[[#This Row],[Lot ]]*100)*IF(Table1[[#This Row],[Action]]="Dividend",Table1[[#This Row],[Dividend per Share]],Table1[[#This Row],[Price]])</f>
        <v>4465000</v>
      </c>
      <c r="K113" s="5">
        <f>(exchange_fee+broker_fee)*J113</f>
        <v>8630.8449999999993</v>
      </c>
      <c r="L113" s="5">
        <f>SUM(Table1[[#This Row],[Amount]]:Table1[[#This Row],[Total Fee]])</f>
        <v>4473630.8449999997</v>
      </c>
      <c r="M113" s="8">
        <f>IF(OR(Table1[[#This Row],[Action]]="Buy",Table1[[#This Row],[Action]]="Withdraw"),-Table1[[#This Row],[Net Amount]],Table1[[#This Row],[Net Amount]])</f>
        <v>-4473630.8449999997</v>
      </c>
    </row>
    <row r="114" spans="1:13">
      <c r="A114" s="2">
        <v>45971</v>
      </c>
      <c r="B114" t="str">
        <f t="shared" si="2"/>
        <v>TX0113</v>
      </c>
      <c r="C114" s="3" t="s">
        <v>20</v>
      </c>
      <c r="D114" t="s">
        <v>7</v>
      </c>
      <c r="E114">
        <v>14</v>
      </c>
      <c r="F114" cm="1">
        <f t="array" ref="F114">_xlfn.IFS(Table1[[#This Row],[Action]]="Buy",Table1[[#This Row],[Lot ]],Table1[[#This Row],[Action]]="Sell",-Table1[[#This Row],[Lot ]],Table1[[#This Row],[Action]]="Dividend",0,TRUE,"")</f>
        <v>14</v>
      </c>
      <c r="G114" s="4">
        <v>24850</v>
      </c>
      <c r="H114" s="4" cm="1">
        <f t="array" ref="H114">IF(OR(Table1[[#This Row],[Stock Tickers]]="",Table1[[#This Row],[Action]]="Dividend"), "",IF(Table1[[#This Row],[Action]]="Buy",(SUMIFS($L$2:L114, $C$2:C114,Table1[[#This Row],[Stock Tickers]], $D$2:D114, "Buy") + Table1[[#This Row],[Amount]]) / ((SUMIFS($E$2:E114, $C$2:C114,Table1[[#This Row],[Stock Tickers]], $D$2:D114, "Buy") + Table1[[#This Row],[Lot ]])*100),LOOKUP(2, 1/($C$2:C114=Table1[[#This Row],[Stock Tickers]]), $G$2:G114)))</f>
        <v>24874.017524999996</v>
      </c>
      <c r="I114" s="4"/>
      <c r="J114" s="5">
        <f>(Table1[[#This Row],[Lot ]]*100)*IF(Table1[[#This Row],[Action]]="Dividend",Table1[[#This Row],[Dividend per Share]],Table1[[#This Row],[Price]])</f>
        <v>34790000</v>
      </c>
      <c r="K114" s="5">
        <f>(exchange_fee+broker_fee)*J114</f>
        <v>67249.070000000007</v>
      </c>
      <c r="L114" s="5">
        <f>SUM(Table1[[#This Row],[Amount]]:Table1[[#This Row],[Total Fee]])</f>
        <v>34857249.07</v>
      </c>
      <c r="M114" s="8">
        <f>IF(OR(Table1[[#This Row],[Action]]="Buy",Table1[[#This Row],[Action]]="Withdraw"),-Table1[[#This Row],[Net Amount]],Table1[[#This Row],[Net Amount]])</f>
        <v>-34857249.07</v>
      </c>
    </row>
    <row r="115" spans="1:13">
      <c r="A115" s="2">
        <v>45972</v>
      </c>
      <c r="B115" t="str">
        <f t="shared" si="2"/>
        <v>TX0114</v>
      </c>
      <c r="C115" s="3" t="s">
        <v>20</v>
      </c>
      <c r="D115" t="s">
        <v>7</v>
      </c>
      <c r="E115">
        <v>17</v>
      </c>
      <c r="F115" cm="1">
        <f t="array" ref="F115">_xlfn.IFS(Table1[[#This Row],[Action]]="Buy",Table1[[#This Row],[Lot ]],Table1[[#This Row],[Action]]="Sell",-Table1[[#This Row],[Lot ]],Table1[[#This Row],[Action]]="Dividend",0,TRUE,"")</f>
        <v>17</v>
      </c>
      <c r="G115" s="4">
        <v>27130</v>
      </c>
      <c r="H115" s="4" cm="1">
        <f t="array" ref="H115">IF(OR(Table1[[#This Row],[Stock Tickers]]="",Table1[[#This Row],[Action]]="Dividend"), "",IF(Table1[[#This Row],[Action]]="Buy",(SUMIFS($L$2:L115, $C$2:C115,Table1[[#This Row],[Stock Tickers]], $D$2:D115, "Buy") + Table1[[#This Row],[Amount]]) / ((SUMIFS($E$2:E115, $C$2:C115,Table1[[#This Row],[Stock Tickers]], $D$2:D115, "Buy") + Table1[[#This Row],[Lot ]])*100),LOOKUP(2, 1/($C$2:C115=Table1[[#This Row],[Stock Tickers]]), $G$2:G115)))</f>
        <v>26497.583533958332</v>
      </c>
      <c r="I115" s="4"/>
      <c r="J115" s="5">
        <f>(Table1[[#This Row],[Lot ]]*100)*IF(Table1[[#This Row],[Action]]="Dividend",Table1[[#This Row],[Dividend per Share]],Table1[[#This Row],[Price]])</f>
        <v>46121000</v>
      </c>
      <c r="K115" s="5">
        <f>(exchange_fee+broker_fee)*J115</f>
        <v>89151.892999999996</v>
      </c>
      <c r="L115" s="5">
        <f>SUM(Table1[[#This Row],[Amount]]:Table1[[#This Row],[Total Fee]])</f>
        <v>46210151.892999999</v>
      </c>
      <c r="M115" s="8">
        <f>IF(OR(Table1[[#This Row],[Action]]="Buy",Table1[[#This Row],[Action]]="Withdraw"),-Table1[[#This Row],[Net Amount]],Table1[[#This Row],[Net Amount]])</f>
        <v>-46210151.892999999</v>
      </c>
    </row>
    <row r="116" spans="1:13">
      <c r="A116" s="2">
        <v>45975</v>
      </c>
      <c r="B116" t="str">
        <f t="shared" si="2"/>
        <v>TX0115</v>
      </c>
      <c r="C116" s="3" t="s">
        <v>11</v>
      </c>
      <c r="D116" t="s">
        <v>12</v>
      </c>
      <c r="E116">
        <v>159</v>
      </c>
      <c r="F116" cm="1">
        <f t="array" ref="F116">_xlfn.IFS(Table1[[#This Row],[Action]]="Buy",Table1[[#This Row],[Lot ]],Table1[[#This Row],[Action]]="Sell",-Table1[[#This Row],[Lot ]],Table1[[#This Row],[Action]]="Dividend",0,TRUE,"")</f>
        <v>0</v>
      </c>
      <c r="G116" s="4"/>
      <c r="H116" s="4" t="str" cm="1">
        <f t="array" ref="H116">IF(OR(Table1[[#This Row],[Stock Tickers]]="",Table1[[#This Row],[Action]]="Dividend"), "",IF(Table1[[#This Row],[Action]]="Buy",(SUMIFS($L$2:L116, $C$2:C116,Table1[[#This Row],[Stock Tickers]], $D$2:D116, "Buy") + Table1[[#This Row],[Amount]]) / ((SUMIFS($E$2:E116, $C$2:C116,Table1[[#This Row],[Stock Tickers]], $D$2:D116, "Buy") + Table1[[#This Row],[Lot ]])*100),LOOKUP(2, 1/($C$2:C116=Table1[[#This Row],[Stock Tickers]]), $G$2:G116)))</f>
        <v/>
      </c>
      <c r="I116" s="4">
        <v>102</v>
      </c>
      <c r="J116" s="5">
        <f>(Table1[[#This Row],[Lot ]]*100)*IF(Table1[[#This Row],[Action]]="Dividend",Table1[[#This Row],[Dividend per Share]],Table1[[#This Row],[Price]])</f>
        <v>1621800</v>
      </c>
      <c r="K116" s="5"/>
      <c r="L116" s="5">
        <f>SUM(Table1[[#This Row],[Amount]]:Table1[[#This Row],[Total Fee]])</f>
        <v>1621800</v>
      </c>
      <c r="M116" s="8">
        <f>IF(OR(Table1[[#This Row],[Action]]="Buy",Table1[[#This Row],[Action]]="Withdraw"),-Table1[[#This Row],[Net Amount]],Table1[[#This Row],[Net Amount]])</f>
        <v>1621800</v>
      </c>
    </row>
    <row r="117" spans="1:13">
      <c r="A117" s="2">
        <v>45979</v>
      </c>
      <c r="B117" t="str">
        <f t="shared" si="2"/>
        <v>TX0116</v>
      </c>
      <c r="C117" s="3" t="s">
        <v>10</v>
      </c>
      <c r="D117" t="s">
        <v>7</v>
      </c>
      <c r="E117">
        <v>18</v>
      </c>
      <c r="F117" cm="1">
        <f t="array" ref="F117">_xlfn.IFS(Table1[[#This Row],[Action]]="Buy",Table1[[#This Row],[Lot ]],Table1[[#This Row],[Action]]="Sell",-Table1[[#This Row],[Lot ]],Table1[[#This Row],[Action]]="Dividend",0,TRUE,"")</f>
        <v>18</v>
      </c>
      <c r="G117" s="4">
        <v>7020</v>
      </c>
      <c r="H117" s="4" cm="1">
        <f t="array" ref="H117">IF(OR(Table1[[#This Row],[Stock Tickers]]="",Table1[[#This Row],[Action]]="Dividend"), "",IF(Table1[[#This Row],[Action]]="Buy",(SUMIFS($L$2:L117, $C$2:C117,Table1[[#This Row],[Stock Tickers]], $D$2:D117, "Buy") + Table1[[#This Row],[Amount]]) / ((SUMIFS($E$2:E117, $C$2:C117,Table1[[#This Row],[Stock Tickers]], $D$2:D117, "Buy") + Table1[[#This Row],[Lot ]])*100),LOOKUP(2, 1/($C$2:C117=Table1[[#This Row],[Stock Tickers]]), $G$2:G117)))</f>
        <v>6946.9264847741943</v>
      </c>
      <c r="I117" s="4"/>
      <c r="J117" s="5">
        <f>(Table1[[#This Row],[Lot ]]*100)*IF(Table1[[#This Row],[Action]]="Dividend",Table1[[#This Row],[Dividend per Share]],Table1[[#This Row],[Price]])</f>
        <v>12636000</v>
      </c>
      <c r="K117" s="5">
        <f>(exchange_fee+broker_fee)*J117</f>
        <v>24425.387999999999</v>
      </c>
      <c r="L117" s="5">
        <f>SUM(Table1[[#This Row],[Amount]]:Table1[[#This Row],[Total Fee]])</f>
        <v>12660425.388</v>
      </c>
      <c r="M117" s="8">
        <f>IF(OR(Table1[[#This Row],[Action]]="Buy",Table1[[#This Row],[Action]]="Withdraw"),-Table1[[#This Row],[Net Amount]],Table1[[#This Row],[Net Amount]])</f>
        <v>-12660425.388</v>
      </c>
    </row>
    <row r="118" spans="1:13">
      <c r="A118" s="2">
        <v>45987</v>
      </c>
      <c r="B118" t="str">
        <f t="shared" si="2"/>
        <v>TX0117</v>
      </c>
      <c r="C118" s="3"/>
      <c r="D118" t="s">
        <v>17</v>
      </c>
      <c r="F118" t="str" cm="1">
        <f t="array" ref="F118">_xlfn.IFS(Table1[[#This Row],[Action]]="Buy",Table1[[#This Row],[Lot ]],Table1[[#This Row],[Action]]="Sell",-Table1[[#This Row],[Lot ]],Table1[[#This Row],[Action]]="Dividend",0,TRUE,"")</f>
        <v/>
      </c>
      <c r="G118" s="4"/>
      <c r="H118" s="4" t="str" cm="1">
        <f t="array" ref="H118">IF(OR(Table1[[#This Row],[Stock Tickers]]="",Table1[[#This Row],[Action]]="Dividend"), "",IF(Table1[[#This Row],[Action]]="Buy",(SUMIFS($L$2:L118, $C$2:C118,Table1[[#This Row],[Stock Tickers]], $D$2:D118, "Buy") + Table1[[#This Row],[Amount]]) / ((SUMIFS($E$2:E118, $C$2:C118,Table1[[#This Row],[Stock Tickers]], $D$2:D118, "Buy") + Table1[[#This Row],[Lot ]])*100),LOOKUP(2, 1/($C$2:C118=Table1[[#This Row],[Stock Tickers]]), $G$2:G118)))</f>
        <v/>
      </c>
      <c r="I118" s="4"/>
      <c r="J118" s="5">
        <v>15000000</v>
      </c>
      <c r="K118" s="5"/>
      <c r="L118" s="5">
        <f>SUM(Table1[[#This Row],[Amount]]:Table1[[#This Row],[Total Fee]])</f>
        <v>15000000</v>
      </c>
      <c r="M118" s="8">
        <f>IF(OR(Table1[[#This Row],[Action]]="Buy",Table1[[#This Row],[Action]]="Withdraw"),-Table1[[#This Row],[Net Amount]],Table1[[#This Row],[Net Amount]])</f>
        <v>-15000000</v>
      </c>
    </row>
    <row r="119" spans="1:13">
      <c r="A119" s="2">
        <v>46003</v>
      </c>
      <c r="B119" t="str">
        <f t="shared" si="2"/>
        <v>TX0118</v>
      </c>
      <c r="C119" s="3" t="s">
        <v>9</v>
      </c>
      <c r="D119" t="s">
        <v>7</v>
      </c>
      <c r="E119">
        <v>18</v>
      </c>
      <c r="F119" cm="1">
        <f t="array" ref="F119">_xlfn.IFS(Table1[[#This Row],[Action]]="Buy",Table1[[#This Row],[Lot ]],Table1[[#This Row],[Action]]="Sell",-Table1[[#This Row],[Lot ]],Table1[[#This Row],[Action]]="Dividend",0,TRUE,"")</f>
        <v>18</v>
      </c>
      <c r="G119" s="4">
        <v>3080</v>
      </c>
      <c r="H119" s="4" cm="1">
        <f t="array" ref="H119">IF(OR(Table1[[#This Row],[Stock Tickers]]="",Table1[[#This Row],[Action]]="Dividend"), "",IF(Table1[[#This Row],[Action]]="Buy",(SUMIFS($L$2:L119, $C$2:C119,Table1[[#This Row],[Stock Tickers]], $D$2:D119, "Buy") + Table1[[#This Row],[Amount]]) / ((SUMIFS($E$2:E119, $C$2:C119,Table1[[#This Row],[Stock Tickers]], $D$2:D119, "Buy") + Table1[[#This Row],[Lot ]])*100),LOOKUP(2, 1/($C$2:C119=Table1[[#This Row],[Stock Tickers]]), $G$2:G119)))</f>
        <v>2466.2072463888885</v>
      </c>
      <c r="I119" s="4"/>
      <c r="J119" s="5">
        <f>(Table1[[#This Row],[Lot ]]*100)*IF(Table1[[#This Row],[Action]]="Dividend",Table1[[#This Row],[Dividend per Share]],Table1[[#This Row],[Price]])</f>
        <v>5544000</v>
      </c>
      <c r="K119" s="5">
        <f>(exchange_fee+broker_fee)*J119</f>
        <v>10716.552</v>
      </c>
      <c r="L119" s="5">
        <f>SUM(Table1[[#This Row],[Amount]]:Table1[[#This Row],[Total Fee]])</f>
        <v>5554716.5520000001</v>
      </c>
      <c r="M119" s="8">
        <f>IF(OR(Table1[[#This Row],[Action]]="Buy",Table1[[#This Row],[Action]]="Withdraw"),-Table1[[#This Row],[Net Amount]],Table1[[#This Row],[Net Amount]])</f>
        <v>-5554716.5520000001</v>
      </c>
    </row>
    <row r="120" spans="1:13">
      <c r="A120" s="2">
        <v>46003</v>
      </c>
      <c r="B120" t="str">
        <f t="shared" si="2"/>
        <v>TX0119</v>
      </c>
      <c r="C120" s="3" t="s">
        <v>13</v>
      </c>
      <c r="D120" t="s">
        <v>7</v>
      </c>
      <c r="E120">
        <v>20</v>
      </c>
      <c r="F120" cm="1">
        <f t="array" ref="F120">_xlfn.IFS(Table1[[#This Row],[Action]]="Buy",Table1[[#This Row],[Lot ]],Table1[[#This Row],[Action]]="Sell",-Table1[[#This Row],[Lot ]],Table1[[#This Row],[Action]]="Dividend",0,TRUE,"")</f>
        <v>20</v>
      </c>
      <c r="G120" s="4">
        <v>22900</v>
      </c>
      <c r="H120" s="4" cm="1">
        <f t="array" ref="H120">IF(OR(Table1[[#This Row],[Stock Tickers]]="",Table1[[#This Row],[Action]]="Dividend"), "",IF(Table1[[#This Row],[Action]]="Buy",(SUMIFS($L$2:L120, $C$2:C120,Table1[[#This Row],[Stock Tickers]], $D$2:D120, "Buy") + Table1[[#This Row],[Amount]]) / ((SUMIFS($E$2:E120, $C$2:C120,Table1[[#This Row],[Stock Tickers]], $D$2:D120, "Buy") + Table1[[#This Row],[Lot ]])*100),LOOKUP(2, 1/($C$2:C120=Table1[[#This Row],[Stock Tickers]]), $G$2:G120)))</f>
        <v>25452.240407246376</v>
      </c>
      <c r="I120" s="4"/>
      <c r="J120" s="5">
        <f>(Table1[[#This Row],[Lot ]]*100)*IF(Table1[[#This Row],[Action]]="Dividend",Table1[[#This Row],[Dividend per Share]],Table1[[#This Row],[Price]])</f>
        <v>45800000</v>
      </c>
      <c r="K120" s="5">
        <f>(exchange_fee+broker_fee)*J120</f>
        <v>88531.400000000009</v>
      </c>
      <c r="L120" s="5">
        <f>SUM(Table1[[#This Row],[Amount]]:Table1[[#This Row],[Total Fee]])</f>
        <v>45888531.399999999</v>
      </c>
      <c r="M120" s="8">
        <f>IF(OR(Table1[[#This Row],[Action]]="Buy",Table1[[#This Row],[Action]]="Withdraw"),-Table1[[#This Row],[Net Amount]],Table1[[#This Row],[Net Amount]])</f>
        <v>-45888531.399999999</v>
      </c>
    </row>
    <row r="121" spans="1:13">
      <c r="A121" s="2">
        <v>46007</v>
      </c>
      <c r="B121" t="str">
        <f t="shared" si="2"/>
        <v>TX0120</v>
      </c>
      <c r="C121" s="3" t="s">
        <v>6</v>
      </c>
      <c r="D121" t="s">
        <v>7</v>
      </c>
      <c r="E121">
        <v>11</v>
      </c>
      <c r="F121" cm="1">
        <f t="array" ref="F121">_xlfn.IFS(Table1[[#This Row],[Action]]="Buy",Table1[[#This Row],[Lot ]],Table1[[#This Row],[Action]]="Sell",-Table1[[#This Row],[Lot ]],Table1[[#This Row],[Action]]="Dividend",0,TRUE,"")</f>
        <v>11</v>
      </c>
      <c r="G121" s="4">
        <v>3550</v>
      </c>
      <c r="H121" s="4" cm="1">
        <f t="array" ref="H121">IF(OR(Table1[[#This Row],[Stock Tickers]]="",Table1[[#This Row],[Action]]="Dividend"), "",IF(Table1[[#This Row],[Action]]="Buy",(SUMIFS($L$2:L121, $C$2:C121,Table1[[#This Row],[Stock Tickers]], $D$2:D121, "Buy") + Table1[[#This Row],[Amount]]) / ((SUMIFS($E$2:E121, $C$2:C121,Table1[[#This Row],[Stock Tickers]], $D$2:D121, "Buy") + Table1[[#This Row],[Lot ]])*100),LOOKUP(2, 1/($C$2:C121=Table1[[#This Row],[Stock Tickers]]), $G$2:G121)))</f>
        <v>3673.434314279069</v>
      </c>
      <c r="I121" s="4"/>
      <c r="J121" s="5">
        <f>(Table1[[#This Row],[Lot ]]*100)*IF(Table1[[#This Row],[Action]]="Dividend",Table1[[#This Row],[Dividend per Share]],Table1[[#This Row],[Price]])</f>
        <v>3905000</v>
      </c>
      <c r="K121" s="5">
        <f>(exchange_fee+broker_fee)*J121</f>
        <v>7548.3649999999998</v>
      </c>
      <c r="L121" s="5">
        <f>SUM(Table1[[#This Row],[Amount]]:Table1[[#This Row],[Total Fee]])</f>
        <v>3912548.3650000002</v>
      </c>
      <c r="M121" s="8">
        <f>IF(OR(Table1[[#This Row],[Action]]="Buy",Table1[[#This Row],[Action]]="Withdraw"),-Table1[[#This Row],[Net Amount]],Table1[[#This Row],[Net Amount]])</f>
        <v>-3912548.3650000002</v>
      </c>
    </row>
    <row r="122" spans="1:13">
      <c r="A122" s="2">
        <v>46009</v>
      </c>
      <c r="B122" t="str">
        <f t="shared" si="2"/>
        <v>TX0121</v>
      </c>
      <c r="C122" s="3" t="s">
        <v>21</v>
      </c>
      <c r="D122" t="s">
        <v>7</v>
      </c>
      <c r="E122">
        <v>30</v>
      </c>
      <c r="F122" cm="1">
        <f t="array" ref="F122">_xlfn.IFS(Table1[[#This Row],[Action]]="Buy",Table1[[#This Row],[Lot ]],Table1[[#This Row],[Action]]="Sell",-Table1[[#This Row],[Lot ]],Table1[[#This Row],[Action]]="Dividend",0,TRUE,"")</f>
        <v>30</v>
      </c>
      <c r="G122" s="4">
        <v>1860</v>
      </c>
      <c r="H122" s="4" cm="1">
        <f t="array" ref="H122">IF(OR(Table1[[#This Row],[Stock Tickers]]="",Table1[[#This Row],[Action]]="Dividend"), "",IF(Table1[[#This Row],[Action]]="Buy",(SUMIFS($L$2:L122, $C$2:C122,Table1[[#This Row],[Stock Tickers]], $D$2:D122, "Buy") + Table1[[#This Row],[Amount]]) / ((SUMIFS($E$2:E122, $C$2:C122,Table1[[#This Row],[Stock Tickers]], $D$2:D122, "Buy") + Table1[[#This Row],[Lot ]])*100),LOOKUP(2, 1/($C$2:C122=Table1[[#This Row],[Stock Tickers]]), $G$2:G122)))</f>
        <v>1861.7976900000001</v>
      </c>
      <c r="I122" s="4"/>
      <c r="J122" s="5">
        <f>(Table1[[#This Row],[Lot ]]*100)*IF(Table1[[#This Row],[Action]]="Dividend",Table1[[#This Row],[Dividend per Share]],Table1[[#This Row],[Price]])</f>
        <v>5580000</v>
      </c>
      <c r="K122" s="5">
        <f>(exchange_fee+broker_fee)*J122</f>
        <v>10786.14</v>
      </c>
      <c r="L122" s="5">
        <f>SUM(Table1[[#This Row],[Amount]]:Table1[[#This Row],[Total Fee]])</f>
        <v>5590786.1399999997</v>
      </c>
      <c r="M122" s="8">
        <f>IF(OR(Table1[[#This Row],[Action]]="Buy",Table1[[#This Row],[Action]]="Withdraw"),-Table1[[#This Row],[Net Amount]],Table1[[#This Row],[Net Amount]])</f>
        <v>-5590786.1399999997</v>
      </c>
    </row>
    <row r="123" spans="1:13">
      <c r="A123" s="2">
        <v>46012</v>
      </c>
      <c r="B123" t="str">
        <f t="shared" si="2"/>
        <v>TX0122</v>
      </c>
      <c r="C123" s="3" t="s">
        <v>8</v>
      </c>
      <c r="D123" t="s">
        <v>12</v>
      </c>
      <c r="E123">
        <v>133</v>
      </c>
      <c r="F123" cm="1">
        <f t="array" ref="F123">_xlfn.IFS(Table1[[#This Row],[Action]]="Buy",Table1[[#This Row],[Lot ]],Table1[[#This Row],[Action]]="Sell",-Table1[[#This Row],[Lot ]],Table1[[#This Row],[Action]]="Dividend",0,TRUE,"")</f>
        <v>0</v>
      </c>
      <c r="G123" s="4"/>
      <c r="H123" s="4" t="str" cm="1">
        <f t="array" ref="H123">IF(OR(Table1[[#This Row],[Stock Tickers]]="",Table1[[#This Row],[Action]]="Dividend"), "",IF(Table1[[#This Row],[Action]]="Buy",(SUMIFS($L$2:L123, $C$2:C123,Table1[[#This Row],[Stock Tickers]], $D$2:D123, "Buy") + Table1[[#This Row],[Amount]]) / ((SUMIFS($E$2:E123, $C$2:C123,Table1[[#This Row],[Stock Tickers]], $D$2:D123, "Buy") + Table1[[#This Row],[Lot ]])*100),LOOKUP(2, 1/($C$2:C123=Table1[[#This Row],[Stock Tickers]]), $G$2:G123)))</f>
        <v/>
      </c>
      <c r="I123" s="4">
        <v>212</v>
      </c>
      <c r="J123" s="5">
        <f>(Table1[[#This Row],[Lot ]]*100)*IF(Table1[[#This Row],[Action]]="Dividend",Table1[[#This Row],[Dividend per Share]],Table1[[#This Row],[Price]])</f>
        <v>2819600</v>
      </c>
      <c r="K123" s="5"/>
      <c r="L123" s="5">
        <f>SUM(Table1[[#This Row],[Amount]]:Table1[[#This Row],[Total Fee]])</f>
        <v>2819600</v>
      </c>
      <c r="M123" s="8">
        <f>IF(OR(Table1[[#This Row],[Action]]="Buy",Table1[[#This Row],[Action]]="Withdraw"),-Table1[[#This Row],[Net Amount]],Table1[[#This Row],[Net Amount]])</f>
        <v>2819600</v>
      </c>
    </row>
    <row r="124" spans="1:13">
      <c r="A124" s="2">
        <v>46025</v>
      </c>
      <c r="B124" t="str">
        <f t="shared" si="2"/>
        <v>TX0123</v>
      </c>
      <c r="C124" s="3" t="s">
        <v>20</v>
      </c>
      <c r="D124" t="s">
        <v>15</v>
      </c>
      <c r="E124">
        <v>10</v>
      </c>
      <c r="F124" cm="1">
        <f t="array" ref="F124">_xlfn.IFS(Table1[[#This Row],[Action]]="Buy",Table1[[#This Row],[Lot ]],Table1[[#This Row],[Action]]="Sell",-Table1[[#This Row],[Lot ]],Table1[[#This Row],[Action]]="Dividend",0,TRUE,"")</f>
        <v>-10</v>
      </c>
      <c r="G124" s="4">
        <v>31975</v>
      </c>
      <c r="H124" s="4" cm="1">
        <f t="array" ref="H124">IF(OR(Table1[[#This Row],[Stock Tickers]]="",Table1[[#This Row],[Action]]="Dividend"), "",IF(Table1[[#This Row],[Action]]="Buy",(SUMIFS($L$2:L124, $C$2:C124,Table1[[#This Row],[Stock Tickers]], $D$2:D124, "Buy") + Table1[[#This Row],[Amount]]) / ((SUMIFS($E$2:E124, $C$2:C124,Table1[[#This Row],[Stock Tickers]], $D$2:D124, "Buy") + Table1[[#This Row],[Lot ]])*100),LOOKUP(2, 1/($C$2:C124=Table1[[#This Row],[Stock Tickers]]), $G$2:G124)))</f>
        <v>31975</v>
      </c>
      <c r="I124" s="4"/>
      <c r="J124" s="5">
        <f>(Table1[[#This Row],[Lot ]]*100)*IF(Table1[[#This Row],[Action]]="Dividend",Table1[[#This Row],[Dividend per Share]],Table1[[#This Row],[Price]])</f>
        <v>31975000</v>
      </c>
      <c r="K124" s="5">
        <f>(exchange_fee+broker_fee)*J124</f>
        <v>61807.675000000003</v>
      </c>
      <c r="L124" s="5">
        <f>SUM(Table1[[#This Row],[Amount]]:Table1[[#This Row],[Total Fee]])</f>
        <v>32036807.675000001</v>
      </c>
      <c r="M124" s="8">
        <f>IF(OR(Table1[[#This Row],[Action]]="Buy",Table1[[#This Row],[Action]]="Withdraw"),-Table1[[#This Row],[Net Amount]],Table1[[#This Row],[Net Amount]])</f>
        <v>32036807.675000001</v>
      </c>
    </row>
    <row r="125" spans="1:13">
      <c r="A125" s="2">
        <v>46029</v>
      </c>
      <c r="B125" t="str">
        <f t="shared" si="2"/>
        <v>TX0124</v>
      </c>
      <c r="C125" s="3" t="s">
        <v>9</v>
      </c>
      <c r="D125" t="s">
        <v>12</v>
      </c>
      <c r="E125">
        <v>330</v>
      </c>
      <c r="F125" cm="1">
        <f t="array" ref="F125">_xlfn.IFS(Table1[[#This Row],[Action]]="Buy",Table1[[#This Row],[Lot ]],Table1[[#This Row],[Action]]="Sell",-Table1[[#This Row],[Lot ]],Table1[[#This Row],[Action]]="Dividend",0,TRUE,"")</f>
        <v>0</v>
      </c>
      <c r="G125" s="4"/>
      <c r="H125" s="4" t="str" cm="1">
        <f t="array" ref="H125">IF(OR(Table1[[#This Row],[Stock Tickers]]="",Table1[[#This Row],[Action]]="Dividend"), "",IF(Table1[[#This Row],[Action]]="Buy",(SUMIFS($L$2:L125, $C$2:C125,Table1[[#This Row],[Stock Tickers]], $D$2:D125, "Buy") + Table1[[#This Row],[Amount]]) / ((SUMIFS($E$2:E125, $C$2:C125,Table1[[#This Row],[Stock Tickers]], $D$2:D125, "Buy") + Table1[[#This Row],[Lot ]])*100),LOOKUP(2, 1/($C$2:C125=Table1[[#This Row],[Stock Tickers]]), $G$2:G125)))</f>
        <v/>
      </c>
      <c r="I125" s="4">
        <v>1020</v>
      </c>
      <c r="J125" s="5">
        <f>(Table1[[#This Row],[Lot ]]*100)*IF(Table1[[#This Row],[Action]]="Dividend",Table1[[#This Row],[Dividend per Share]],Table1[[#This Row],[Price]])</f>
        <v>33660000</v>
      </c>
      <c r="K125" s="5"/>
      <c r="L125" s="5">
        <f>SUM(Table1[[#This Row],[Amount]]:Table1[[#This Row],[Total Fee]])</f>
        <v>33660000</v>
      </c>
      <c r="M125" s="8">
        <f>IF(OR(Table1[[#This Row],[Action]]="Buy",Table1[[#This Row],[Action]]="Withdraw"),-Table1[[#This Row],[Net Amount]],Table1[[#This Row],[Net Amount]])</f>
        <v>33660000</v>
      </c>
    </row>
    <row r="126" spans="1:13">
      <c r="A126" s="2">
        <v>46035</v>
      </c>
      <c r="B126" t="str">
        <f t="shared" si="2"/>
        <v>TX0125</v>
      </c>
      <c r="C126" s="3" t="s">
        <v>10</v>
      </c>
      <c r="D126" t="s">
        <v>7</v>
      </c>
      <c r="E126">
        <v>16</v>
      </c>
      <c r="F126" cm="1">
        <f t="array" ref="F126">_xlfn.IFS(Table1[[#This Row],[Action]]="Buy",Table1[[#This Row],[Lot ]],Table1[[#This Row],[Action]]="Sell",-Table1[[#This Row],[Lot ]],Table1[[#This Row],[Action]]="Dividend",0,TRUE,"")</f>
        <v>16</v>
      </c>
      <c r="G126" s="4">
        <v>5890</v>
      </c>
      <c r="H126" s="4" cm="1">
        <f t="array" ref="H126">IF(OR(Table1[[#This Row],[Stock Tickers]]="",Table1[[#This Row],[Action]]="Dividend"), "",IF(Table1[[#This Row],[Action]]="Buy",(SUMIFS($L$2:L126, $C$2:C126,Table1[[#This Row],[Stock Tickers]], $D$2:D126, "Buy") + Table1[[#This Row],[Amount]]) / ((SUMIFS($E$2:E126, $C$2:C126,Table1[[#This Row],[Stock Tickers]], $D$2:D126, "Buy") + Table1[[#This Row],[Lot ]])*100),LOOKUP(2, 1/($C$2:C126=Table1[[#This Row],[Stock Tickers]]), $G$2:G126)))</f>
        <v>6740.0933198816574</v>
      </c>
      <c r="I126" s="4"/>
      <c r="J126" s="5">
        <f>(Table1[[#This Row],[Lot ]]*100)*IF(Table1[[#This Row],[Action]]="Dividend",Table1[[#This Row],[Dividend per Share]],Table1[[#This Row],[Price]])</f>
        <v>9424000</v>
      </c>
      <c r="K126" s="5">
        <f t="shared" ref="K126:K140" si="5">(exchange_fee+broker_fee)*J126</f>
        <v>18216.592000000001</v>
      </c>
      <c r="L126" s="5">
        <f>SUM(Table1[[#This Row],[Amount]]:Table1[[#This Row],[Total Fee]])</f>
        <v>9442216.5920000002</v>
      </c>
      <c r="M126" s="8">
        <f>IF(OR(Table1[[#This Row],[Action]]="Buy",Table1[[#This Row],[Action]]="Withdraw"),-Table1[[#This Row],[Net Amount]],Table1[[#This Row],[Net Amount]])</f>
        <v>-9442216.5920000002</v>
      </c>
    </row>
    <row r="127" spans="1:13">
      <c r="A127" s="2">
        <v>46041</v>
      </c>
      <c r="B127" t="str">
        <f t="shared" si="2"/>
        <v>TX0126</v>
      </c>
      <c r="C127" s="3" t="s">
        <v>8</v>
      </c>
      <c r="D127" t="s">
        <v>7</v>
      </c>
      <c r="E127">
        <v>13</v>
      </c>
      <c r="F127" cm="1">
        <f t="array" ref="F127">_xlfn.IFS(Table1[[#This Row],[Action]]="Buy",Table1[[#This Row],[Lot ]],Table1[[#This Row],[Action]]="Sell",-Table1[[#This Row],[Lot ]],Table1[[#This Row],[Action]]="Dividend",0,TRUE,"")</f>
        <v>13</v>
      </c>
      <c r="G127" s="4">
        <v>4510</v>
      </c>
      <c r="H127" s="4" cm="1">
        <f t="array" ref="H127">IF(OR(Table1[[#This Row],[Stock Tickers]]="",Table1[[#This Row],[Action]]="Dividend"), "",IF(Table1[[#This Row],[Action]]="Buy",(SUMIFS($L$2:L127, $C$2:C127,Table1[[#This Row],[Stock Tickers]], $D$2:D127, "Buy") + Table1[[#This Row],[Amount]]) / ((SUMIFS($E$2:E127, $C$2:C127,Table1[[#This Row],[Stock Tickers]], $D$2:D127, "Buy") + Table1[[#This Row],[Lot ]])*100),LOOKUP(2, 1/($C$2:C127=Table1[[#This Row],[Stock Tickers]]), $G$2:G127)))</f>
        <v>3207.5675117999999</v>
      </c>
      <c r="I127" s="4"/>
      <c r="J127" s="5">
        <f>(Table1[[#This Row],[Lot ]]*100)*IF(Table1[[#This Row],[Action]]="Dividend",Table1[[#This Row],[Dividend per Share]],Table1[[#This Row],[Price]])</f>
        <v>5863000</v>
      </c>
      <c r="K127" s="5">
        <f t="shared" si="5"/>
        <v>11333.179</v>
      </c>
      <c r="L127" s="5">
        <f>SUM(Table1[[#This Row],[Amount]]:Table1[[#This Row],[Total Fee]])</f>
        <v>5874333.1789999995</v>
      </c>
      <c r="M127" s="8">
        <f>IF(OR(Table1[[#This Row],[Action]]="Buy",Table1[[#This Row],[Action]]="Withdraw"),-Table1[[#This Row],[Net Amount]],Table1[[#This Row],[Net Amount]])</f>
        <v>-5874333.1789999995</v>
      </c>
    </row>
    <row r="128" spans="1:13">
      <c r="A128" s="2">
        <v>46062</v>
      </c>
      <c r="B128" t="str">
        <f t="shared" si="2"/>
        <v>TX0127</v>
      </c>
      <c r="C128" s="3" t="s">
        <v>13</v>
      </c>
      <c r="D128" t="s">
        <v>7</v>
      </c>
      <c r="E128">
        <v>7</v>
      </c>
      <c r="F128" cm="1">
        <f t="array" ref="F128">_xlfn.IFS(Table1[[#This Row],[Action]]="Buy",Table1[[#This Row],[Lot ]],Table1[[#This Row],[Action]]="Sell",-Table1[[#This Row],[Lot ]],Table1[[#This Row],[Action]]="Dividend",0,TRUE,"")</f>
        <v>7</v>
      </c>
      <c r="G128" s="4">
        <v>24800</v>
      </c>
      <c r="H128" s="4" cm="1">
        <f t="array" ref="H128">IF(OR(Table1[[#This Row],[Stock Tickers]]="",Table1[[#This Row],[Action]]="Dividend"), "",IF(Table1[[#This Row],[Action]]="Buy",(SUMIFS($L$2:L128, $C$2:C128,Table1[[#This Row],[Stock Tickers]], $D$2:D128, "Buy") + Table1[[#This Row],[Amount]]) / ((SUMIFS($E$2:E128, $C$2:C128,Table1[[#This Row],[Stock Tickers]], $D$2:D128, "Buy") + Table1[[#This Row],[Lot ]])*100),LOOKUP(2, 1/($C$2:C128=Table1[[#This Row],[Stock Tickers]]), $G$2:G128)))</f>
        <v>26122.859633333333</v>
      </c>
      <c r="I128" s="4"/>
      <c r="J128" s="5">
        <f>(Table1[[#This Row],[Lot ]]*100)*IF(Table1[[#This Row],[Action]]="Dividend",Table1[[#This Row],[Dividend per Share]],Table1[[#This Row],[Price]])</f>
        <v>17360000</v>
      </c>
      <c r="K128" s="5">
        <f t="shared" si="5"/>
        <v>33556.879999999997</v>
      </c>
      <c r="L128" s="5">
        <f>SUM(Table1[[#This Row],[Amount]]:Table1[[#This Row],[Total Fee]])</f>
        <v>17393556.879999999</v>
      </c>
      <c r="M128" s="8">
        <f>IF(OR(Table1[[#This Row],[Action]]="Buy",Table1[[#This Row],[Action]]="Withdraw"),-Table1[[#This Row],[Net Amount]],Table1[[#This Row],[Net Amount]])</f>
        <v>-17393556.879999999</v>
      </c>
    </row>
    <row r="129" spans="1:13">
      <c r="A129" s="2">
        <v>46066</v>
      </c>
      <c r="B129" t="str">
        <f t="shared" si="2"/>
        <v>TX0128</v>
      </c>
      <c r="C129" s="3" t="s">
        <v>16</v>
      </c>
      <c r="D129" t="s">
        <v>15</v>
      </c>
      <c r="E129">
        <v>20</v>
      </c>
      <c r="F129" cm="1">
        <f t="array" ref="F129">_xlfn.IFS(Table1[[#This Row],[Action]]="Buy",Table1[[#This Row],[Lot ]],Table1[[#This Row],[Action]]="Sell",-Table1[[#This Row],[Lot ]],Table1[[#This Row],[Action]]="Dividend",0,TRUE,"")</f>
        <v>-20</v>
      </c>
      <c r="G129" s="4">
        <v>57</v>
      </c>
      <c r="H129" s="4" cm="1">
        <f t="array" ref="H129">IF(OR(Table1[[#This Row],[Stock Tickers]]="",Table1[[#This Row],[Action]]="Dividend"), "",IF(Table1[[#This Row],[Action]]="Buy",(SUMIFS($L$2:L129, $C$2:C129,Table1[[#This Row],[Stock Tickers]], $D$2:D129, "Buy") + Table1[[#This Row],[Amount]]) / ((SUMIFS($E$2:E129, $C$2:C129,Table1[[#This Row],[Stock Tickers]], $D$2:D129, "Buy") + Table1[[#This Row],[Lot ]])*100),LOOKUP(2, 1/($C$2:C129=Table1[[#This Row],[Stock Tickers]]), $G$2:G129)))</f>
        <v>57</v>
      </c>
      <c r="I129" s="4"/>
      <c r="J129" s="5">
        <f>(Table1[[#This Row],[Lot ]]*100)*IF(Table1[[#This Row],[Action]]="Dividend",Table1[[#This Row],[Dividend per Share]],Table1[[#This Row],[Price]])</f>
        <v>114000</v>
      </c>
      <c r="K129" s="5">
        <f t="shared" si="5"/>
        <v>220.36199999999999</v>
      </c>
      <c r="L129" s="5">
        <f>SUM(Table1[[#This Row],[Amount]]:Table1[[#This Row],[Total Fee]])</f>
        <v>114220.36199999999</v>
      </c>
      <c r="M129" s="8">
        <f>IF(OR(Table1[[#This Row],[Action]]="Buy",Table1[[#This Row],[Action]]="Withdraw"),-Table1[[#This Row],[Net Amount]],Table1[[#This Row],[Net Amount]])</f>
        <v>114220.36199999999</v>
      </c>
    </row>
    <row r="130" spans="1:13">
      <c r="A130" s="2">
        <v>46074</v>
      </c>
      <c r="B130" t="str">
        <f t="shared" ref="B130:B147" si="6">"TX"&amp;TEXT(ROW()-1,"0000")</f>
        <v>TX0129</v>
      </c>
      <c r="C130" s="3" t="s">
        <v>9</v>
      </c>
      <c r="D130" t="s">
        <v>7</v>
      </c>
      <c r="E130">
        <v>32</v>
      </c>
      <c r="F130" cm="1">
        <f t="array" ref="F130">_xlfn.IFS(Table1[[#This Row],[Action]]="Buy",Table1[[#This Row],[Lot ]],Table1[[#This Row],[Action]]="Sell",-Table1[[#This Row],[Lot ]],Table1[[#This Row],[Action]]="Dividend",0,TRUE,"")</f>
        <v>32</v>
      </c>
      <c r="G130" s="4">
        <v>2250</v>
      </c>
      <c r="H130" s="4" cm="1">
        <f t="array" ref="H130">IF(OR(Table1[[#This Row],[Stock Tickers]]="",Table1[[#This Row],[Action]]="Dividend"), "",IF(Table1[[#This Row],[Action]]="Buy",(SUMIFS($L$2:L130, $C$2:C130,Table1[[#This Row],[Stock Tickers]], $D$2:D130, "Buy") + Table1[[#This Row],[Amount]]) / ((SUMIFS($E$2:E130, $C$2:C130,Table1[[#This Row],[Stock Tickers]], $D$2:D130, "Buy") + Table1[[#This Row],[Lot ]])*100),LOOKUP(2, 1/($C$2:C130=Table1[[#This Row],[Stock Tickers]]), $G$2:G130)))</f>
        <v>2371.7555008396944</v>
      </c>
      <c r="I130" s="4"/>
      <c r="J130" s="5">
        <f>(Table1[[#This Row],[Lot ]]*100)*IF(Table1[[#This Row],[Action]]="Dividend",Table1[[#This Row],[Dividend per Share]],Table1[[#This Row],[Price]])</f>
        <v>7200000</v>
      </c>
      <c r="K130" s="5">
        <f t="shared" si="5"/>
        <v>13917.6</v>
      </c>
      <c r="L130" s="5">
        <f>SUM(Table1[[#This Row],[Amount]]:Table1[[#This Row],[Total Fee]])</f>
        <v>7213917.5999999996</v>
      </c>
      <c r="M130" s="8">
        <f>IF(OR(Table1[[#This Row],[Action]]="Buy",Table1[[#This Row],[Action]]="Withdraw"),-Table1[[#This Row],[Net Amount]],Table1[[#This Row],[Net Amount]])</f>
        <v>-7213917.5999999996</v>
      </c>
    </row>
    <row r="131" spans="1:13">
      <c r="A131" s="2">
        <v>46079</v>
      </c>
      <c r="B131" t="str">
        <f t="shared" si="6"/>
        <v>TX0130</v>
      </c>
      <c r="C131" s="3" t="s">
        <v>14</v>
      </c>
      <c r="D131" t="s">
        <v>15</v>
      </c>
      <c r="E131">
        <v>2</v>
      </c>
      <c r="F131" cm="1">
        <f t="array" ref="F131">_xlfn.IFS(Table1[[#This Row],[Action]]="Buy",Table1[[#This Row],[Lot ]],Table1[[#This Row],[Action]]="Sell",-Table1[[#This Row],[Lot ]],Table1[[#This Row],[Action]]="Dividend",0,TRUE,"")</f>
        <v>-2</v>
      </c>
      <c r="G131" s="4">
        <v>8890</v>
      </c>
      <c r="H131" s="4" cm="1">
        <f t="array" ref="H131">IF(OR(Table1[[#This Row],[Stock Tickers]]="",Table1[[#This Row],[Action]]="Dividend"), "",IF(Table1[[#This Row],[Action]]="Buy",(SUMIFS($L$2:L131, $C$2:C131,Table1[[#This Row],[Stock Tickers]], $D$2:D131, "Buy") + Table1[[#This Row],[Amount]]) / ((SUMIFS($E$2:E131, $C$2:C131,Table1[[#This Row],[Stock Tickers]], $D$2:D131, "Buy") + Table1[[#This Row],[Lot ]])*100),LOOKUP(2, 1/($C$2:C131=Table1[[#This Row],[Stock Tickers]]), $G$2:G131)))</f>
        <v>8890</v>
      </c>
      <c r="I131" s="4"/>
      <c r="J131" s="5">
        <f>(Table1[[#This Row],[Lot ]]*100)*IF(Table1[[#This Row],[Action]]="Dividend",Table1[[#This Row],[Dividend per Share]],Table1[[#This Row],[Price]])</f>
        <v>1778000</v>
      </c>
      <c r="K131" s="5">
        <f t="shared" si="5"/>
        <v>3436.8740000000003</v>
      </c>
      <c r="L131" s="5">
        <f>SUM(Table1[[#This Row],[Amount]]:Table1[[#This Row],[Total Fee]])</f>
        <v>1781436.8740000001</v>
      </c>
      <c r="M131" s="8">
        <f>IF(OR(Table1[[#This Row],[Action]]="Buy",Table1[[#This Row],[Action]]="Withdraw"),-Table1[[#This Row],[Net Amount]],Table1[[#This Row],[Net Amount]])</f>
        <v>1781436.8740000001</v>
      </c>
    </row>
    <row r="132" spans="1:13">
      <c r="A132" s="2">
        <v>46079</v>
      </c>
      <c r="B132" t="str">
        <f t="shared" si="6"/>
        <v>TX0131</v>
      </c>
      <c r="C132" s="3" t="s">
        <v>19</v>
      </c>
      <c r="D132" t="s">
        <v>7</v>
      </c>
      <c r="E132">
        <v>10</v>
      </c>
      <c r="F132" cm="1">
        <f t="array" ref="F132">_xlfn.IFS(Table1[[#This Row],[Action]]="Buy",Table1[[#This Row],[Lot ]],Table1[[#This Row],[Action]]="Sell",-Table1[[#This Row],[Lot ]],Table1[[#This Row],[Action]]="Dividend",0,TRUE,"")</f>
        <v>10</v>
      </c>
      <c r="G132" s="4">
        <v>5900</v>
      </c>
      <c r="H132" s="4" cm="1">
        <f t="array" ref="H132">IF(OR(Table1[[#This Row],[Stock Tickers]]="",Table1[[#This Row],[Action]]="Dividend"), "",IF(Table1[[#This Row],[Action]]="Buy",(SUMIFS($L$2:L132, $C$2:C132,Table1[[#This Row],[Stock Tickers]], $D$2:D132, "Buy") + Table1[[#This Row],[Amount]]) / ((SUMIFS($E$2:E132, $C$2:C132,Table1[[#This Row],[Stock Tickers]], $D$2:D132, "Buy") + Table1[[#This Row],[Lot ]])*100),LOOKUP(2, 1/($C$2:C132=Table1[[#This Row],[Stock Tickers]]), $G$2:G132)))</f>
        <v>6320.1075325757574</v>
      </c>
      <c r="I132" s="4"/>
      <c r="J132" s="5">
        <f>(Table1[[#This Row],[Lot ]]*100)*IF(Table1[[#This Row],[Action]]="Dividend",Table1[[#This Row],[Dividend per Share]],Table1[[#This Row],[Price]])</f>
        <v>5900000</v>
      </c>
      <c r="K132" s="5">
        <f t="shared" si="5"/>
        <v>11404.7</v>
      </c>
      <c r="L132" s="5">
        <f>SUM(Table1[[#This Row],[Amount]]:Table1[[#This Row],[Total Fee]])</f>
        <v>5911404.7000000002</v>
      </c>
      <c r="M132" s="8">
        <f>IF(OR(Table1[[#This Row],[Action]]="Buy",Table1[[#This Row],[Action]]="Withdraw"),-Table1[[#This Row],[Net Amount]],Table1[[#This Row],[Net Amount]])</f>
        <v>-5911404.7000000002</v>
      </c>
    </row>
    <row r="133" spans="1:13">
      <c r="A133" s="2">
        <v>46083</v>
      </c>
      <c r="B133" t="str">
        <f t="shared" si="6"/>
        <v>TX0132</v>
      </c>
      <c r="C133" s="3" t="s">
        <v>11</v>
      </c>
      <c r="D133" t="s">
        <v>15</v>
      </c>
      <c r="E133">
        <v>8</v>
      </c>
      <c r="F133" cm="1">
        <f t="array" ref="F133">_xlfn.IFS(Table1[[#This Row],[Action]]="Buy",Table1[[#This Row],[Lot ]],Table1[[#This Row],[Action]]="Sell",-Table1[[#This Row],[Lot ]],Table1[[#This Row],[Action]]="Dividend",0,TRUE,"")</f>
        <v>-8</v>
      </c>
      <c r="G133" s="4">
        <v>7390</v>
      </c>
      <c r="H133" s="4" cm="1">
        <f t="array" ref="H133">IF(OR(Table1[[#This Row],[Stock Tickers]]="",Table1[[#This Row],[Action]]="Dividend"), "",IF(Table1[[#This Row],[Action]]="Buy",(SUMIFS($L$2:L133, $C$2:C133,Table1[[#This Row],[Stock Tickers]], $D$2:D133, "Buy") + Table1[[#This Row],[Amount]]) / ((SUMIFS($E$2:E133, $C$2:C133,Table1[[#This Row],[Stock Tickers]], $D$2:D133, "Buy") + Table1[[#This Row],[Lot ]])*100),LOOKUP(2, 1/($C$2:C133=Table1[[#This Row],[Stock Tickers]]), $G$2:G133)))</f>
        <v>7390</v>
      </c>
      <c r="I133" s="4"/>
      <c r="J133" s="5">
        <f>(Table1[[#This Row],[Lot ]]*100)*IF(Table1[[#This Row],[Action]]="Dividend",Table1[[#This Row],[Dividend per Share]],Table1[[#This Row],[Price]])</f>
        <v>5912000</v>
      </c>
      <c r="K133" s="5">
        <f t="shared" si="5"/>
        <v>11427.896000000001</v>
      </c>
      <c r="L133" s="5">
        <f>SUM(Table1[[#This Row],[Amount]]:Table1[[#This Row],[Total Fee]])</f>
        <v>5923427.8959999997</v>
      </c>
      <c r="M133" s="8">
        <f>IF(OR(Table1[[#This Row],[Action]]="Buy",Table1[[#This Row],[Action]]="Withdraw"),-Table1[[#This Row],[Net Amount]],Table1[[#This Row],[Net Amount]])</f>
        <v>5923427.8959999997</v>
      </c>
    </row>
    <row r="134" spans="1:13">
      <c r="A134" s="2">
        <v>46083</v>
      </c>
      <c r="B134" t="str">
        <f t="shared" si="6"/>
        <v>TX0133</v>
      </c>
      <c r="C134" s="3" t="s">
        <v>6</v>
      </c>
      <c r="D134" t="s">
        <v>7</v>
      </c>
      <c r="E134">
        <v>5</v>
      </c>
      <c r="F134" cm="1">
        <f t="array" ref="F134">_xlfn.IFS(Table1[[#This Row],[Action]]="Buy",Table1[[#This Row],[Lot ]],Table1[[#This Row],[Action]]="Sell",-Table1[[#This Row],[Lot ]],Table1[[#This Row],[Action]]="Dividend",0,TRUE,"")</f>
        <v>5</v>
      </c>
      <c r="G134" s="4">
        <v>4020</v>
      </c>
      <c r="H134" s="4" cm="1">
        <f t="array" ref="H134">IF(OR(Table1[[#This Row],[Stock Tickers]]="",Table1[[#This Row],[Action]]="Dividend"), "",IF(Table1[[#This Row],[Action]]="Buy",(SUMIFS($L$2:L134, $C$2:C134,Table1[[#This Row],[Stock Tickers]], $D$2:D134, "Buy") + Table1[[#This Row],[Amount]]) / ((SUMIFS($E$2:E134, $C$2:C134,Table1[[#This Row],[Stock Tickers]], $D$2:D134, "Buy") + Table1[[#This Row],[Lot ]])*100),LOOKUP(2, 1/($C$2:C134=Table1[[#This Row],[Stock Tickers]]), $G$2:G134)))</f>
        <v>3696.1552844392513</v>
      </c>
      <c r="I134" s="4"/>
      <c r="J134" s="5">
        <f>(Table1[[#This Row],[Lot ]]*100)*IF(Table1[[#This Row],[Action]]="Dividend",Table1[[#This Row],[Dividend per Share]],Table1[[#This Row],[Price]])</f>
        <v>2010000</v>
      </c>
      <c r="K134" s="5">
        <f t="shared" si="5"/>
        <v>3885.33</v>
      </c>
      <c r="L134" s="5">
        <f>SUM(Table1[[#This Row],[Amount]]:Table1[[#This Row],[Total Fee]])</f>
        <v>2013885.33</v>
      </c>
      <c r="M134" s="8">
        <f>IF(OR(Table1[[#This Row],[Action]]="Buy",Table1[[#This Row],[Action]]="Withdraw"),-Table1[[#This Row],[Net Amount]],Table1[[#This Row],[Net Amount]])</f>
        <v>-2013885.33</v>
      </c>
    </row>
    <row r="135" spans="1:13">
      <c r="A135" s="2">
        <v>46098</v>
      </c>
      <c r="B135" t="str">
        <f t="shared" si="6"/>
        <v>TX0134</v>
      </c>
      <c r="C135" s="3" t="s">
        <v>13</v>
      </c>
      <c r="D135" t="s">
        <v>7</v>
      </c>
      <c r="E135">
        <v>7</v>
      </c>
      <c r="F135" cm="1">
        <f t="array" ref="F135">_xlfn.IFS(Table1[[#This Row],[Action]]="Buy",Table1[[#This Row],[Lot ]],Table1[[#This Row],[Action]]="Sell",-Table1[[#This Row],[Lot ]],Table1[[#This Row],[Action]]="Dividend",0,TRUE,"")</f>
        <v>7</v>
      </c>
      <c r="G135" s="4">
        <v>21600</v>
      </c>
      <c r="H135" s="4" cm="1">
        <f t="array" ref="H135">IF(OR(Table1[[#This Row],[Stock Tickers]]="",Table1[[#This Row],[Action]]="Dividend"), "",IF(Table1[[#This Row],[Action]]="Buy",(SUMIFS($L$2:L135, $C$2:C135,Table1[[#This Row],[Stock Tickers]], $D$2:D135, "Buy") + Table1[[#This Row],[Amount]]) / ((SUMIFS($E$2:E135, $C$2:C135,Table1[[#This Row],[Stock Tickers]], $D$2:D135, "Buy") + Table1[[#This Row],[Lot ]])*100),LOOKUP(2, 1/($C$2:C135=Table1[[#This Row],[Stock Tickers]]), $G$2:G135)))</f>
        <v>25354.748950000001</v>
      </c>
      <c r="I135" s="4"/>
      <c r="J135" s="5">
        <f>(Table1[[#This Row],[Lot ]]*100)*IF(Table1[[#This Row],[Action]]="Dividend",Table1[[#This Row],[Dividend per Share]],Table1[[#This Row],[Price]])</f>
        <v>15120000</v>
      </c>
      <c r="K135" s="5">
        <f t="shared" si="5"/>
        <v>29226.959999999999</v>
      </c>
      <c r="L135" s="5">
        <f>SUM(Table1[[#This Row],[Amount]]:Table1[[#This Row],[Total Fee]])</f>
        <v>15149226.960000001</v>
      </c>
      <c r="M135" s="8">
        <f>IF(OR(Table1[[#This Row],[Action]]="Buy",Table1[[#This Row],[Action]]="Withdraw"),-Table1[[#This Row],[Net Amount]],Table1[[#This Row],[Net Amount]])</f>
        <v>-15149226.960000001</v>
      </c>
    </row>
    <row r="136" spans="1:13">
      <c r="A136" s="2">
        <v>46106</v>
      </c>
      <c r="B136" t="str">
        <f t="shared" si="6"/>
        <v>TX0135</v>
      </c>
      <c r="C136" s="3" t="s">
        <v>21</v>
      </c>
      <c r="D136" t="s">
        <v>7</v>
      </c>
      <c r="E136">
        <v>12</v>
      </c>
      <c r="F136" cm="1">
        <f t="array" ref="F136">_xlfn.IFS(Table1[[#This Row],[Action]]="Buy",Table1[[#This Row],[Lot ]],Table1[[#This Row],[Action]]="Sell",-Table1[[#This Row],[Lot ]],Table1[[#This Row],[Action]]="Dividend",0,TRUE,"")</f>
        <v>12</v>
      </c>
      <c r="G136" s="4">
        <v>1955</v>
      </c>
      <c r="H136" s="4" cm="1">
        <f t="array" ref="H136">IF(OR(Table1[[#This Row],[Stock Tickers]]="",Table1[[#This Row],[Action]]="Dividend"), "",IF(Table1[[#This Row],[Action]]="Buy",(SUMIFS($L$2:L136, $C$2:C136,Table1[[#This Row],[Stock Tickers]], $D$2:D136, "Buy") + Table1[[#This Row],[Amount]]) / ((SUMIFS($E$2:E136, $C$2:C136,Table1[[#This Row],[Stock Tickers]], $D$2:D136, "Buy") + Table1[[#This Row],[Lot ]])*100),LOOKUP(2, 1/($C$2:C136=Table1[[#This Row],[Stock Tickers]]), $G$2:G136)))</f>
        <v>1905.0594366666667</v>
      </c>
      <c r="I136" s="4"/>
      <c r="J136" s="5">
        <f>(Table1[[#This Row],[Lot ]]*100)*IF(Table1[[#This Row],[Action]]="Dividend",Table1[[#This Row],[Dividend per Share]],Table1[[#This Row],[Price]])</f>
        <v>2346000</v>
      </c>
      <c r="K136" s="5">
        <f t="shared" si="5"/>
        <v>4534.8180000000002</v>
      </c>
      <c r="L136" s="5">
        <f>SUM(Table1[[#This Row],[Amount]]:Table1[[#This Row],[Total Fee]])</f>
        <v>2350534.818</v>
      </c>
      <c r="M136" s="8">
        <f>IF(OR(Table1[[#This Row],[Action]]="Buy",Table1[[#This Row],[Action]]="Withdraw"),-Table1[[#This Row],[Net Amount]],Table1[[#This Row],[Net Amount]])</f>
        <v>-2350534.818</v>
      </c>
    </row>
    <row r="137" spans="1:13">
      <c r="A137" s="2">
        <v>46115</v>
      </c>
      <c r="B137" t="str">
        <f t="shared" si="6"/>
        <v>TX0136</v>
      </c>
      <c r="C137" s="3" t="s">
        <v>21</v>
      </c>
      <c r="D137" t="s">
        <v>7</v>
      </c>
      <c r="E137">
        <v>5</v>
      </c>
      <c r="F137" cm="1">
        <f t="array" ref="F137">_xlfn.IFS(Table1[[#This Row],[Action]]="Buy",Table1[[#This Row],[Lot ]],Table1[[#This Row],[Action]]="Sell",-Table1[[#This Row],[Lot ]],Table1[[#This Row],[Action]]="Dividend",0,TRUE,"")</f>
        <v>5</v>
      </c>
      <c r="G137" s="4">
        <v>1805</v>
      </c>
      <c r="H137" s="4" cm="1">
        <f t="array" ref="H137">IF(OR(Table1[[#This Row],[Stock Tickers]]="",Table1[[#This Row],[Action]]="Dividend"), "",IF(Table1[[#This Row],[Action]]="Buy",(SUMIFS($L$2:L137, $C$2:C137,Table1[[#This Row],[Stock Tickers]], $D$2:D137, "Buy") + Table1[[#This Row],[Amount]]) / ((SUMIFS($E$2:E137, $C$2:C137,Table1[[#This Row],[Stock Tickers]], $D$2:D137, "Buy") + Table1[[#This Row],[Lot ]])*100),LOOKUP(2, 1/($C$2:C137=Table1[[#This Row],[Stock Tickers]]), $G$2:G137)))</f>
        <v>1874.6279789423077</v>
      </c>
      <c r="I137" s="4"/>
      <c r="J137" s="5">
        <f>(Table1[[#This Row],[Lot ]]*100)*IF(Table1[[#This Row],[Action]]="Dividend",Table1[[#This Row],[Dividend per Share]],Table1[[#This Row],[Price]])</f>
        <v>902500</v>
      </c>
      <c r="K137" s="5">
        <f t="shared" si="5"/>
        <v>1744.5325</v>
      </c>
      <c r="L137" s="5">
        <f>SUM(Table1[[#This Row],[Amount]]:Table1[[#This Row],[Total Fee]])</f>
        <v>904244.53249999997</v>
      </c>
      <c r="M137" s="8">
        <f>IF(OR(Table1[[#This Row],[Action]]="Buy",Table1[[#This Row],[Action]]="Withdraw"),-Table1[[#This Row],[Net Amount]],Table1[[#This Row],[Net Amount]])</f>
        <v>-904244.53249999997</v>
      </c>
    </row>
    <row r="138" spans="1:13">
      <c r="A138" s="2">
        <v>46124</v>
      </c>
      <c r="B138" t="str">
        <f t="shared" si="6"/>
        <v>TX0137</v>
      </c>
      <c r="C138" s="3" t="s">
        <v>8</v>
      </c>
      <c r="D138" t="s">
        <v>15</v>
      </c>
      <c r="E138">
        <v>22</v>
      </c>
      <c r="F138" cm="1">
        <f t="array" ref="F138">_xlfn.IFS(Table1[[#This Row],[Action]]="Buy",Table1[[#This Row],[Lot ]],Table1[[#This Row],[Action]]="Sell",-Table1[[#This Row],[Lot ]],Table1[[#This Row],[Action]]="Dividend",0,TRUE,"")</f>
        <v>-22</v>
      </c>
      <c r="G138" s="4">
        <v>3550</v>
      </c>
      <c r="H138" s="4" cm="1">
        <f t="array" ref="H138">IF(OR(Table1[[#This Row],[Stock Tickers]]="",Table1[[#This Row],[Action]]="Dividend"), "",IF(Table1[[#This Row],[Action]]="Buy",(SUMIFS($L$2:L138, $C$2:C138,Table1[[#This Row],[Stock Tickers]], $D$2:D138, "Buy") + Table1[[#This Row],[Amount]]) / ((SUMIFS($E$2:E138, $C$2:C138,Table1[[#This Row],[Stock Tickers]], $D$2:D138, "Buy") + Table1[[#This Row],[Lot ]])*100),LOOKUP(2, 1/($C$2:C138=Table1[[#This Row],[Stock Tickers]]), $G$2:G138)))</f>
        <v>3550</v>
      </c>
      <c r="I138" s="4"/>
      <c r="J138" s="5">
        <f>(Table1[[#This Row],[Lot ]]*100)*IF(Table1[[#This Row],[Action]]="Dividend",Table1[[#This Row],[Dividend per Share]],Table1[[#This Row],[Price]])</f>
        <v>7810000</v>
      </c>
      <c r="K138" s="5">
        <f t="shared" si="5"/>
        <v>15096.73</v>
      </c>
      <c r="L138" s="5">
        <f>SUM(Table1[[#This Row],[Amount]]:Table1[[#This Row],[Total Fee]])</f>
        <v>7825096.7300000004</v>
      </c>
      <c r="M138" s="8">
        <f>IF(OR(Table1[[#This Row],[Action]]="Buy",Table1[[#This Row],[Action]]="Withdraw"),-Table1[[#This Row],[Net Amount]],Table1[[#This Row],[Net Amount]])</f>
        <v>7825096.7300000004</v>
      </c>
    </row>
    <row r="139" spans="1:13">
      <c r="A139" s="2">
        <v>46131</v>
      </c>
      <c r="B139" t="str">
        <f t="shared" si="6"/>
        <v>TX0138</v>
      </c>
      <c r="C139" s="3" t="s">
        <v>20</v>
      </c>
      <c r="D139" t="s">
        <v>7</v>
      </c>
      <c r="E139">
        <v>27</v>
      </c>
      <c r="F139" cm="1">
        <f t="array" ref="F139">_xlfn.IFS(Table1[[#This Row],[Action]]="Buy",Table1[[#This Row],[Lot ]],Table1[[#This Row],[Action]]="Sell",-Table1[[#This Row],[Lot ]],Table1[[#This Row],[Action]]="Dividend",0,TRUE,"")</f>
        <v>27</v>
      </c>
      <c r="G139" s="4">
        <v>24400</v>
      </c>
      <c r="H139" s="4" cm="1">
        <f t="array" ref="H139">IF(OR(Table1[[#This Row],[Stock Tickers]]="",Table1[[#This Row],[Action]]="Dividend"), "",IF(Table1[[#This Row],[Action]]="Buy",(SUMIFS($L$2:L139, $C$2:C139,Table1[[#This Row],[Stock Tickers]], $D$2:D139, "Buy") + Table1[[#This Row],[Amount]]) / ((SUMIFS($E$2:E139, $C$2:C139,Table1[[#This Row],[Stock Tickers]], $D$2:D139, "Buy") + Table1[[#This Row],[Lot ]])*100),LOOKUP(2, 1/($C$2:C139=Table1[[#This Row],[Stock Tickers]]), $G$2:G139)))</f>
        <v>25053.499647411765</v>
      </c>
      <c r="I139" s="4"/>
      <c r="J139" s="5">
        <f>(Table1[[#This Row],[Lot ]]*100)*IF(Table1[[#This Row],[Action]]="Dividend",Table1[[#This Row],[Dividend per Share]],Table1[[#This Row],[Price]])</f>
        <v>65880000</v>
      </c>
      <c r="K139" s="5">
        <f t="shared" si="5"/>
        <v>127346.04000000001</v>
      </c>
      <c r="L139" s="5">
        <f>SUM(Table1[[#This Row],[Amount]]:Table1[[#This Row],[Total Fee]])</f>
        <v>66007346.039999999</v>
      </c>
      <c r="M139" s="8">
        <f>IF(OR(Table1[[#This Row],[Action]]="Buy",Table1[[#This Row],[Action]]="Withdraw"),-Table1[[#This Row],[Net Amount]],Table1[[#This Row],[Net Amount]])</f>
        <v>-66007346.039999999</v>
      </c>
    </row>
    <row r="140" spans="1:13">
      <c r="A140" s="2">
        <v>46132</v>
      </c>
      <c r="B140" t="str">
        <f t="shared" si="6"/>
        <v>TX0139</v>
      </c>
      <c r="C140" s="3" t="s">
        <v>16</v>
      </c>
      <c r="D140" t="s">
        <v>15</v>
      </c>
      <c r="E140">
        <v>20</v>
      </c>
      <c r="F140" cm="1">
        <f t="array" ref="F140">_xlfn.IFS(Table1[[#This Row],[Action]]="Buy",Table1[[#This Row],[Lot ]],Table1[[#This Row],[Action]]="Sell",-Table1[[#This Row],[Lot ]],Table1[[#This Row],[Action]]="Dividend",0,TRUE,"")</f>
        <v>-20</v>
      </c>
      <c r="G140" s="4">
        <v>54</v>
      </c>
      <c r="H140" s="4" cm="1">
        <f t="array" ref="H140">IF(OR(Table1[[#This Row],[Stock Tickers]]="",Table1[[#This Row],[Action]]="Dividend"), "",IF(Table1[[#This Row],[Action]]="Buy",(SUMIFS($L$2:L140, $C$2:C140,Table1[[#This Row],[Stock Tickers]], $D$2:D140, "Buy") + Table1[[#This Row],[Amount]]) / ((SUMIFS($E$2:E140, $C$2:C140,Table1[[#This Row],[Stock Tickers]], $D$2:D140, "Buy") + Table1[[#This Row],[Lot ]])*100),LOOKUP(2, 1/($C$2:C140=Table1[[#This Row],[Stock Tickers]]), $G$2:G140)))</f>
        <v>54</v>
      </c>
      <c r="I140" s="4"/>
      <c r="J140" s="5">
        <f>(Table1[[#This Row],[Lot ]]*100)*IF(Table1[[#This Row],[Action]]="Dividend",Table1[[#This Row],[Dividend per Share]],Table1[[#This Row],[Price]])</f>
        <v>108000</v>
      </c>
      <c r="K140" s="5">
        <f t="shared" si="5"/>
        <v>208.76400000000001</v>
      </c>
      <c r="L140" s="5">
        <f>SUM(Table1[[#This Row],[Amount]]:Table1[[#This Row],[Total Fee]])</f>
        <v>108208.764</v>
      </c>
      <c r="M140" s="8">
        <f>IF(OR(Table1[[#This Row],[Action]]="Buy",Table1[[#This Row],[Action]]="Withdraw"),-Table1[[#This Row],[Net Amount]],Table1[[#This Row],[Net Amount]])</f>
        <v>108208.764</v>
      </c>
    </row>
    <row r="141" spans="1:13">
      <c r="A141" s="2">
        <v>46142</v>
      </c>
      <c r="B141" t="str">
        <f t="shared" si="6"/>
        <v>TX0140</v>
      </c>
      <c r="C141" s="3"/>
      <c r="D141" t="s">
        <v>17</v>
      </c>
      <c r="F141" t="str" cm="1">
        <f t="array" ref="F141">_xlfn.IFS(Table1[[#This Row],[Action]]="Buy",Table1[[#This Row],[Lot ]],Table1[[#This Row],[Action]]="Sell",-Table1[[#This Row],[Lot ]],Table1[[#This Row],[Action]]="Dividend",0,TRUE,"")</f>
        <v/>
      </c>
      <c r="G141" s="4"/>
      <c r="H141" s="4" t="str" cm="1">
        <f t="array" ref="H141">IF(OR(Table1[[#This Row],[Stock Tickers]]="",Table1[[#This Row],[Action]]="Dividend"), "",IF(Table1[[#This Row],[Action]]="Buy",(SUMIFS($L$2:L141, $C$2:C141,Table1[[#This Row],[Stock Tickers]], $D$2:D141, "Buy") + Table1[[#This Row],[Amount]]) / ((SUMIFS($E$2:E141, $C$2:C141,Table1[[#This Row],[Stock Tickers]], $D$2:D141, "Buy") + Table1[[#This Row],[Lot ]])*100),LOOKUP(2, 1/($C$2:C141=Table1[[#This Row],[Stock Tickers]]), $G$2:G141)))</f>
        <v/>
      </c>
      <c r="I141" s="4"/>
      <c r="J141" s="5">
        <v>15000000</v>
      </c>
      <c r="K141" s="5"/>
      <c r="L141" s="5">
        <f>SUM(Table1[[#This Row],[Amount]]:Table1[[#This Row],[Total Fee]])</f>
        <v>15000000</v>
      </c>
      <c r="M141" s="8">
        <f>IF(OR(Table1[[#This Row],[Action]]="Buy",Table1[[#This Row],[Action]]="Withdraw"),-Table1[[#This Row],[Net Amount]],Table1[[#This Row],[Net Amount]])</f>
        <v>-15000000</v>
      </c>
    </row>
    <row r="142" spans="1:13">
      <c r="A142" s="2">
        <v>46143</v>
      </c>
      <c r="B142" t="str">
        <f t="shared" si="6"/>
        <v>TX0141</v>
      </c>
      <c r="C142" s="3" t="s">
        <v>18</v>
      </c>
      <c r="D142" t="s">
        <v>7</v>
      </c>
      <c r="E142">
        <v>34</v>
      </c>
      <c r="F142" cm="1">
        <f t="array" ref="F142">_xlfn.IFS(Table1[[#This Row],[Action]]="Buy",Table1[[#This Row],[Lot ]],Table1[[#This Row],[Action]]="Sell",-Table1[[#This Row],[Lot ]],Table1[[#This Row],[Action]]="Dividend",0,TRUE,"")</f>
        <v>34</v>
      </c>
      <c r="G142" s="4">
        <v>4750</v>
      </c>
      <c r="H142" s="4" cm="1">
        <f t="array" ref="H142">IF(OR(Table1[[#This Row],[Stock Tickers]]="",Table1[[#This Row],[Action]]="Dividend"), "",IF(Table1[[#This Row],[Action]]="Buy",(SUMIFS($L$2:L142, $C$2:C142,Table1[[#This Row],[Stock Tickers]], $D$2:D142, "Buy") + Table1[[#This Row],[Amount]]) / ((SUMIFS($E$2:E142, $C$2:C142,Table1[[#This Row],[Stock Tickers]], $D$2:D142, "Buy") + Table1[[#This Row],[Lot ]])*100),LOOKUP(2, 1/($C$2:C142=Table1[[#This Row],[Stock Tickers]]), $G$2:G142)))</f>
        <v>5040.9940129059823</v>
      </c>
      <c r="I142" s="4"/>
      <c r="J142" s="5">
        <f>(Table1[[#This Row],[Lot ]]*100)*IF(Table1[[#This Row],[Action]]="Dividend",Table1[[#This Row],[Dividend per Share]],Table1[[#This Row],[Price]])</f>
        <v>16150000</v>
      </c>
      <c r="K142" s="5">
        <f t="shared" ref="K142:K164" si="7">(exchange_fee+broker_fee)*J142</f>
        <v>31217.95</v>
      </c>
      <c r="L142" s="5">
        <f>SUM(Table1[[#This Row],[Amount]]:Table1[[#This Row],[Total Fee]])</f>
        <v>16181217.949999999</v>
      </c>
      <c r="M142" s="8">
        <f>IF(OR(Table1[[#This Row],[Action]]="Buy",Table1[[#This Row],[Action]]="Withdraw"),-Table1[[#This Row],[Net Amount]],Table1[[#This Row],[Net Amount]])</f>
        <v>-16181217.949999999</v>
      </c>
    </row>
    <row r="143" spans="1:13">
      <c r="A143" s="2">
        <v>46148</v>
      </c>
      <c r="B143" t="str">
        <f t="shared" si="6"/>
        <v>TX0142</v>
      </c>
      <c r="C143" s="3" t="s">
        <v>18</v>
      </c>
      <c r="D143" t="s">
        <v>7</v>
      </c>
      <c r="E143">
        <v>28</v>
      </c>
      <c r="F143" cm="1">
        <f t="array" ref="F143">_xlfn.IFS(Table1[[#This Row],[Action]]="Buy",Table1[[#This Row],[Lot ]],Table1[[#This Row],[Action]]="Sell",-Table1[[#This Row],[Lot ]],Table1[[#This Row],[Action]]="Dividend",0,TRUE,"")</f>
        <v>28</v>
      </c>
      <c r="G143" s="4">
        <v>3410</v>
      </c>
      <c r="H143" s="4" cm="1">
        <f t="array" ref="H143">IF(OR(Table1[[#This Row],[Stock Tickers]]="",Table1[[#This Row],[Action]]="Dividend"), "",IF(Table1[[#This Row],[Action]]="Buy",(SUMIFS($L$2:L143, $C$2:C143,Table1[[#This Row],[Stock Tickers]], $D$2:D143, "Buy") + Table1[[#This Row],[Amount]]) / ((SUMIFS($E$2:E143, $C$2:C143,Table1[[#This Row],[Stock Tickers]], $D$2:D143, "Buy") + Table1[[#This Row],[Lot ]])*100),LOOKUP(2, 1/($C$2:C143=Table1[[#This Row],[Stock Tickers]]), $G$2:G143)))</f>
        <v>4456.4090816546759</v>
      </c>
      <c r="I143" s="4"/>
      <c r="J143" s="5">
        <f>(Table1[[#This Row],[Lot ]]*100)*IF(Table1[[#This Row],[Action]]="Dividend",Table1[[#This Row],[Dividend per Share]],Table1[[#This Row],[Price]])</f>
        <v>9548000</v>
      </c>
      <c r="K143" s="5">
        <f t="shared" si="7"/>
        <v>18456.284</v>
      </c>
      <c r="L143" s="5">
        <f>SUM(Table1[[#This Row],[Amount]]:Table1[[#This Row],[Total Fee]])</f>
        <v>9566456.284</v>
      </c>
      <c r="M143" s="8">
        <f>IF(OR(Table1[[#This Row],[Action]]="Buy",Table1[[#This Row],[Action]]="Withdraw"),-Table1[[#This Row],[Net Amount]],Table1[[#This Row],[Net Amount]])</f>
        <v>-9566456.284</v>
      </c>
    </row>
    <row r="144" spans="1:13">
      <c r="A144" s="2">
        <v>46160</v>
      </c>
      <c r="B144" t="str">
        <f t="shared" si="6"/>
        <v>TX0143</v>
      </c>
      <c r="C144" s="3" t="s">
        <v>8</v>
      </c>
      <c r="D144" t="s">
        <v>15</v>
      </c>
      <c r="E144">
        <v>5</v>
      </c>
      <c r="F144" cm="1">
        <f t="array" ref="F144">_xlfn.IFS(Table1[[#This Row],[Action]]="Buy",Table1[[#This Row],[Lot ]],Table1[[#This Row],[Action]]="Sell",-Table1[[#This Row],[Lot ]],Table1[[#This Row],[Action]]="Dividend",0,TRUE,"")</f>
        <v>-5</v>
      </c>
      <c r="G144" s="4">
        <v>3020</v>
      </c>
      <c r="H144" s="4" cm="1">
        <f t="array" ref="H144">IF(OR(Table1[[#This Row],[Stock Tickers]]="",Table1[[#This Row],[Action]]="Dividend"), "",IF(Table1[[#This Row],[Action]]="Buy",(SUMIFS($L$2:L144, $C$2:C144,Table1[[#This Row],[Stock Tickers]], $D$2:D144, "Buy") + Table1[[#This Row],[Amount]]) / ((SUMIFS($E$2:E144, $C$2:C144,Table1[[#This Row],[Stock Tickers]], $D$2:D144, "Buy") + Table1[[#This Row],[Lot ]])*100),LOOKUP(2, 1/($C$2:C144=Table1[[#This Row],[Stock Tickers]]), $G$2:G144)))</f>
        <v>3020</v>
      </c>
      <c r="I144" s="4"/>
      <c r="J144" s="5">
        <f>(Table1[[#This Row],[Lot ]]*100)*IF(Table1[[#This Row],[Action]]="Dividend",Table1[[#This Row],[Dividend per Share]],Table1[[#This Row],[Price]])</f>
        <v>1510000</v>
      </c>
      <c r="K144" s="5">
        <f t="shared" si="7"/>
        <v>2918.83</v>
      </c>
      <c r="L144" s="5">
        <f>SUM(Table1[[#This Row],[Amount]]:Table1[[#This Row],[Total Fee]])</f>
        <v>1512918.83</v>
      </c>
      <c r="M144" s="8">
        <f>IF(OR(Table1[[#This Row],[Action]]="Buy",Table1[[#This Row],[Action]]="Withdraw"),-Table1[[#This Row],[Net Amount]],Table1[[#This Row],[Net Amount]])</f>
        <v>1512918.83</v>
      </c>
    </row>
    <row r="145" spans="1:13">
      <c r="A145" s="2">
        <v>46160</v>
      </c>
      <c r="B145" t="str">
        <f t="shared" si="6"/>
        <v>TX0144</v>
      </c>
      <c r="C145" s="3" t="s">
        <v>9</v>
      </c>
      <c r="D145" t="s">
        <v>15</v>
      </c>
      <c r="E145">
        <v>10</v>
      </c>
      <c r="F145" cm="1">
        <f t="array" ref="F145">_xlfn.IFS(Table1[[#This Row],[Action]]="Buy",Table1[[#This Row],[Lot ]],Table1[[#This Row],[Action]]="Sell",-Table1[[#This Row],[Lot ]],Table1[[#This Row],[Action]]="Dividend",0,TRUE,"")</f>
        <v>-10</v>
      </c>
      <c r="G145" s="4">
        <v>3610</v>
      </c>
      <c r="H145" s="4" cm="1">
        <f t="array" ref="H145">IF(OR(Table1[[#This Row],[Stock Tickers]]="",Table1[[#This Row],[Action]]="Dividend"), "",IF(Table1[[#This Row],[Action]]="Buy",(SUMIFS($L$2:L145, $C$2:C145,Table1[[#This Row],[Stock Tickers]], $D$2:D145, "Buy") + Table1[[#This Row],[Amount]]) / ((SUMIFS($E$2:E145, $C$2:C145,Table1[[#This Row],[Stock Tickers]], $D$2:D145, "Buy") + Table1[[#This Row],[Lot ]])*100),LOOKUP(2, 1/($C$2:C145=Table1[[#This Row],[Stock Tickers]]), $G$2:G145)))</f>
        <v>3610</v>
      </c>
      <c r="I145" s="4"/>
      <c r="J145" s="5">
        <f>(Table1[[#This Row],[Lot ]]*100)*IF(Table1[[#This Row],[Action]]="Dividend",Table1[[#This Row],[Dividend per Share]],Table1[[#This Row],[Price]])</f>
        <v>3610000</v>
      </c>
      <c r="K145" s="5">
        <f t="shared" si="7"/>
        <v>6978.13</v>
      </c>
      <c r="L145" s="5">
        <f>SUM(Table1[[#This Row],[Amount]]:Table1[[#This Row],[Total Fee]])</f>
        <v>3616978.13</v>
      </c>
      <c r="M145" s="8">
        <f>IF(OR(Table1[[#This Row],[Action]]="Buy",Table1[[#This Row],[Action]]="Withdraw"),-Table1[[#This Row],[Net Amount]],Table1[[#This Row],[Net Amount]])</f>
        <v>3616978.13</v>
      </c>
    </row>
    <row r="146" spans="1:13">
      <c r="A146" s="2">
        <v>46161</v>
      </c>
      <c r="B146" t="str">
        <f t="shared" si="6"/>
        <v>TX0145</v>
      </c>
      <c r="C146" s="3" t="s">
        <v>10</v>
      </c>
      <c r="D146" t="s">
        <v>7</v>
      </c>
      <c r="E146">
        <v>24</v>
      </c>
      <c r="F146" cm="1">
        <f t="array" ref="F146">_xlfn.IFS(Table1[[#This Row],[Action]]="Buy",Table1[[#This Row],[Lot ]],Table1[[#This Row],[Action]]="Sell",-Table1[[#This Row],[Lot ]],Table1[[#This Row],[Action]]="Dividend",0,TRUE,"")</f>
        <v>24</v>
      </c>
      <c r="G146" s="4">
        <v>5320</v>
      </c>
      <c r="H146" s="4" cm="1">
        <f t="array" ref="H146">IF(OR(Table1[[#This Row],[Stock Tickers]]="",Table1[[#This Row],[Action]]="Dividend"), "",IF(Table1[[#This Row],[Action]]="Buy",(SUMIFS($L$2:L146, $C$2:C146,Table1[[#This Row],[Stock Tickers]], $D$2:D146, "Buy") + Table1[[#This Row],[Amount]]) / ((SUMIFS($E$2:E146, $C$2:C146,Table1[[#This Row],[Stock Tickers]], $D$2:D146, "Buy") + Table1[[#This Row],[Lot ]])*100),LOOKUP(2, 1/($C$2:C146=Table1[[#This Row],[Stock Tickers]]), $G$2:G146)))</f>
        <v>6469.863564676617</v>
      </c>
      <c r="I146" s="4"/>
      <c r="J146" s="5">
        <f>(Table1[[#This Row],[Lot ]]*100)*IF(Table1[[#This Row],[Action]]="Dividend",Table1[[#This Row],[Dividend per Share]],Table1[[#This Row],[Price]])</f>
        <v>12768000</v>
      </c>
      <c r="K146" s="5">
        <f t="shared" si="7"/>
        <v>24680.544000000002</v>
      </c>
      <c r="L146" s="5">
        <f>SUM(Table1[[#This Row],[Amount]]:Table1[[#This Row],[Total Fee]])</f>
        <v>12792680.544</v>
      </c>
      <c r="M146" s="8">
        <f>IF(OR(Table1[[#This Row],[Action]]="Buy",Table1[[#This Row],[Action]]="Withdraw"),-Table1[[#This Row],[Net Amount]],Table1[[#This Row],[Net Amount]])</f>
        <v>-12792680.544</v>
      </c>
    </row>
    <row r="147" spans="1:13">
      <c r="A147" s="2">
        <v>46169</v>
      </c>
      <c r="B147" t="str">
        <f t="shared" si="6"/>
        <v>TX0146</v>
      </c>
      <c r="C147" s="3" t="s">
        <v>10</v>
      </c>
      <c r="D147" t="s">
        <v>7</v>
      </c>
      <c r="E147">
        <v>6</v>
      </c>
      <c r="F147" cm="1">
        <f t="array" ref="F147">_xlfn.IFS(Table1[[#This Row],[Action]]="Buy",Table1[[#This Row],[Lot ]],Table1[[#This Row],[Action]]="Sell",-Table1[[#This Row],[Lot ]],Table1[[#This Row],[Action]]="Dividend",0,TRUE,"")</f>
        <v>6</v>
      </c>
      <c r="G147" s="4">
        <v>5890</v>
      </c>
      <c r="H147" s="4" cm="1">
        <f t="array" ref="H147">IF(OR(Table1[[#This Row],[Stock Tickers]]="",Table1[[#This Row],[Action]]="Dividend"), "",IF(Table1[[#This Row],[Action]]="Buy",(SUMIFS($L$2:L147, $C$2:C147,Table1[[#This Row],[Stock Tickers]], $D$2:D147, "Buy") + Table1[[#This Row],[Amount]]) / ((SUMIFS($E$2:E147, $C$2:C147,Table1[[#This Row],[Stock Tickers]], $D$2:D147, "Buy") + Table1[[#This Row],[Lot ]])*100),LOOKUP(2, 1/($C$2:C147=Table1[[#This Row],[Stock Tickers]]), $G$2:G147)))</f>
        <v>6579.4226916402122</v>
      </c>
      <c r="I147" s="4"/>
      <c r="J147" s="5">
        <f>(Table1[[#This Row],[Lot ]]*100)*IF(Table1[[#This Row],[Action]]="Dividend",Table1[[#This Row],[Dividend per Share]],Table1[[#This Row],[Price]])</f>
        <v>3534000</v>
      </c>
      <c r="K147" s="5">
        <f t="shared" si="7"/>
        <v>6831.2219999999998</v>
      </c>
      <c r="L147" s="5">
        <f>SUM(Table1[[#This Row],[Amount]]:Table1[[#This Row],[Total Fee]])</f>
        <v>3540831.2220000001</v>
      </c>
      <c r="M147" s="8">
        <f>IF(OR(Table1[[#This Row],[Action]]="Buy",Table1[[#This Row],[Action]]="Withdraw"),-Table1[[#This Row],[Net Amount]],Table1[[#This Row],[Net Amount]])</f>
        <v>-3540831.2220000001</v>
      </c>
    </row>
    <row r="148" spans="1:13">
      <c r="A148" s="2"/>
      <c r="C148" s="3"/>
      <c r="F148" t="str" cm="1">
        <f t="array" ref="F148">_xlfn.IFS(Table1[[#This Row],[Action]]="Buy",Table1[[#This Row],[Lot ]],Table1[[#This Row],[Action]]="Sell",-Table1[[#This Row],[Lot ]],Table1[[#This Row],[Action]]="Dividend",0,TRUE,"")</f>
        <v/>
      </c>
      <c r="G148" s="4"/>
      <c r="H148" s="4" t="str" cm="1">
        <f t="array" ref="H148">IF(OR(Table1[[#This Row],[Stock Tickers]]="",Table1[[#This Row],[Action]]="Dividend"), "",IF(Table1[[#This Row],[Action]]="Buy",(SUMIFS($J$2:J147, $C$2:C147,Table1[[#This Row],[Stock Tickers]], $D$2:D147, "Buy") + Table1[[#This Row],[Amount]]) / ((SUMIFS($E$2:E147, $C$2:C147,Table1[[#This Row],[Stock Tickers]], $D$2:D147, "Buy") + Table1[[#This Row],[Lot ]])*100),LOOKUP(2, 1/($C$2:C147=Table1[[#This Row],[Stock Tickers]]), $G$2:G147)))</f>
        <v/>
      </c>
      <c r="I148" s="4"/>
      <c r="J148" s="5">
        <f>(Table1[[#This Row],[Lot ]]*100)*IF(Table1[[#This Row],[Action]]="Dividend",Table1[[#This Row],[Dividend per Share]],Table1[[#This Row],[Price]])</f>
        <v>0</v>
      </c>
      <c r="K148" s="5">
        <f t="shared" si="7"/>
        <v>0</v>
      </c>
      <c r="L148" s="5">
        <f>SUM(Table1[[#This Row],[Amount]]:Table1[[#This Row],[Total Fee]])</f>
        <v>0</v>
      </c>
      <c r="M148" s="8">
        <f>IF(OR(Table1[[#This Row],[Action]]="Buy",Table1[[#This Row],[Action]]="Withdraw"),-Table1[[#This Row],[Net Amount]],Table1[[#This Row],[Net Amount]])</f>
        <v>0</v>
      </c>
    </row>
    <row r="149" spans="1:13">
      <c r="A149" s="2"/>
      <c r="C149" s="3"/>
      <c r="F149" t="str" cm="1">
        <f t="array" ref="F149">_xlfn.IFS(Table1[[#This Row],[Action]]="Buy",Table1[[#This Row],[Lot ]],Table1[[#This Row],[Action]]="Sell",-Table1[[#This Row],[Lot ]],Table1[[#This Row],[Action]]="Dividend",0,TRUE,"")</f>
        <v/>
      </c>
      <c r="G149" s="4"/>
      <c r="H149" s="4" t="str" cm="1">
        <f t="array" ref="H149">IF(OR(Table1[[#This Row],[Stock Tickers]]="",Table1[[#This Row],[Action]]="Dividend"), "",IF(Table1[[#This Row],[Action]]="Buy",(SUMIFS($J$2:J148, $C$2:C148,Table1[[#This Row],[Stock Tickers]], $D$2:D148, "Buy") + Table1[[#This Row],[Amount]]) / ((SUMIFS($E$2:E148, $C$2:C148,Table1[[#This Row],[Stock Tickers]], $D$2:D148, "Buy") + Table1[[#This Row],[Lot ]])*100),LOOKUP(2, 1/($C$2:C148=Table1[[#This Row],[Stock Tickers]]), $G$2:G148)))</f>
        <v/>
      </c>
      <c r="I149" s="4"/>
      <c r="J149" s="5">
        <f>(Table1[[#This Row],[Lot ]]*100)*IF(Table1[[#This Row],[Action]]="Dividend",Table1[[#This Row],[Dividend per Share]],Table1[[#This Row],[Price]])</f>
        <v>0</v>
      </c>
      <c r="K149" s="5">
        <f t="shared" si="7"/>
        <v>0</v>
      </c>
      <c r="L149" s="5">
        <f>SUM(Table1[[#This Row],[Amount]]:Table1[[#This Row],[Total Fee]])</f>
        <v>0</v>
      </c>
      <c r="M149" s="8">
        <f>IF(OR(Table1[[#This Row],[Action]]="Buy",Table1[[#This Row],[Action]]="Withdraw"),-Table1[[#This Row],[Net Amount]],Table1[[#This Row],[Net Amount]])</f>
        <v>0</v>
      </c>
    </row>
    <row r="150" spans="1:13">
      <c r="A150" s="2"/>
      <c r="C150" s="3"/>
      <c r="F150" t="str" cm="1">
        <f t="array" ref="F150">_xlfn.IFS(Table1[[#This Row],[Action]]="Buy",Table1[[#This Row],[Lot ]],Table1[[#This Row],[Action]]="Sell",-Table1[[#This Row],[Lot ]],Table1[[#This Row],[Action]]="Dividend",0,TRUE,"")</f>
        <v/>
      </c>
      <c r="G150" s="4"/>
      <c r="H150" s="4" t="str" cm="1">
        <f t="array" ref="H150">IF(OR(Table1[[#This Row],[Stock Tickers]]="",Table1[[#This Row],[Action]]="Dividend"), "",IF(Table1[[#This Row],[Action]]="Buy",(SUMIFS($J$2:J149, $C$2:C149,Table1[[#This Row],[Stock Tickers]], $D$2:D149, "Buy") + Table1[[#This Row],[Amount]]) / ((SUMIFS($E$2:E149, $C$2:C149,Table1[[#This Row],[Stock Tickers]], $D$2:D149, "Buy") + Table1[[#This Row],[Lot ]])*100),LOOKUP(2, 1/($C$2:C149=Table1[[#This Row],[Stock Tickers]]), $G$2:G149)))</f>
        <v/>
      </c>
      <c r="I150" s="4"/>
      <c r="J150" s="5">
        <f>(Table1[[#This Row],[Lot ]]*100)*IF(Table1[[#This Row],[Action]]="Dividend",Table1[[#This Row],[Dividend per Share]],Table1[[#This Row],[Price]])</f>
        <v>0</v>
      </c>
      <c r="K150" s="5">
        <f t="shared" si="7"/>
        <v>0</v>
      </c>
      <c r="L150" s="5">
        <f>SUM(Table1[[#This Row],[Amount]]:Table1[[#This Row],[Total Fee]])</f>
        <v>0</v>
      </c>
      <c r="M150" s="8">
        <f>IF(OR(Table1[[#This Row],[Action]]="Buy",Table1[[#This Row],[Action]]="Withdraw"),-Table1[[#This Row],[Net Amount]],Table1[[#This Row],[Net Amount]])</f>
        <v>0</v>
      </c>
    </row>
    <row r="151" spans="1:13">
      <c r="A151" s="2"/>
      <c r="C151" s="3"/>
      <c r="F151" t="str" cm="1">
        <f t="array" ref="F151">_xlfn.IFS(Table1[[#This Row],[Action]]="Buy",Table1[[#This Row],[Lot ]],Table1[[#This Row],[Action]]="Sell",-Table1[[#This Row],[Lot ]],Table1[[#This Row],[Action]]="Dividend",0,TRUE,"")</f>
        <v/>
      </c>
      <c r="G151" s="4"/>
      <c r="H151" s="4" t="str" cm="1">
        <f t="array" ref="H151">IF(OR(Table1[[#This Row],[Stock Tickers]]="",Table1[[#This Row],[Action]]="Dividend"), "",IF(Table1[[#This Row],[Action]]="Buy",(SUMIFS($J$2:J150, $C$2:C150,Table1[[#This Row],[Stock Tickers]], $D$2:D150, "Buy") + Table1[[#This Row],[Amount]]) / ((SUMIFS($E$2:E150, $C$2:C150,Table1[[#This Row],[Stock Tickers]], $D$2:D150, "Buy") + Table1[[#This Row],[Lot ]])*100),LOOKUP(2, 1/($C$2:C150=Table1[[#This Row],[Stock Tickers]]), $G$2:G150)))</f>
        <v/>
      </c>
      <c r="I151" s="4"/>
      <c r="J151" s="5">
        <f>(Table1[[#This Row],[Lot ]]*100)*IF(Table1[[#This Row],[Action]]="Dividend",Table1[[#This Row],[Dividend per Share]],Table1[[#This Row],[Price]])</f>
        <v>0</v>
      </c>
      <c r="K151" s="5">
        <f t="shared" si="7"/>
        <v>0</v>
      </c>
      <c r="L151" s="5">
        <f>SUM(Table1[[#This Row],[Amount]]:Table1[[#This Row],[Total Fee]])</f>
        <v>0</v>
      </c>
      <c r="M151" s="8">
        <f>IF(OR(Table1[[#This Row],[Action]]="Buy",Table1[[#This Row],[Action]]="Withdraw"),-Table1[[#This Row],[Net Amount]],Table1[[#This Row],[Net Amount]])</f>
        <v>0</v>
      </c>
    </row>
    <row r="152" spans="1:13">
      <c r="A152" s="2"/>
      <c r="C152" s="3"/>
      <c r="F152" t="str" cm="1">
        <f t="array" ref="F152">_xlfn.IFS(Table1[[#This Row],[Action]]="Buy",Table1[[#This Row],[Lot ]],Table1[[#This Row],[Action]]="Sell",-Table1[[#This Row],[Lot ]],Table1[[#This Row],[Action]]="Dividend",0,TRUE,"")</f>
        <v/>
      </c>
      <c r="G152" s="4"/>
      <c r="H152" s="4" t="str" cm="1">
        <f t="array" ref="H152">IF(OR(Table1[[#This Row],[Stock Tickers]]="",Table1[[#This Row],[Action]]="Dividend"), "",IF(Table1[[#This Row],[Action]]="Buy",(SUMIFS($J$2:J151, $C$2:C151,Table1[[#This Row],[Stock Tickers]], $D$2:D151, "Buy") + Table1[[#This Row],[Amount]]) / ((SUMIFS($E$2:E151, $C$2:C151,Table1[[#This Row],[Stock Tickers]], $D$2:D151, "Buy") + Table1[[#This Row],[Lot ]])*100),LOOKUP(2, 1/($C$2:C151=Table1[[#This Row],[Stock Tickers]]), $G$2:G151)))</f>
        <v/>
      </c>
      <c r="I152" s="4"/>
      <c r="J152" s="5">
        <f>(Table1[[#This Row],[Lot ]]*100)*IF(Table1[[#This Row],[Action]]="Dividend",Table1[[#This Row],[Dividend per Share]],Table1[[#This Row],[Price]])</f>
        <v>0</v>
      </c>
      <c r="K152" s="5">
        <f t="shared" si="7"/>
        <v>0</v>
      </c>
      <c r="L152" s="5">
        <f>SUM(Table1[[#This Row],[Amount]]:Table1[[#This Row],[Total Fee]])</f>
        <v>0</v>
      </c>
      <c r="M152" s="8">
        <f>IF(OR(Table1[[#This Row],[Action]]="Buy",Table1[[#This Row],[Action]]="Withdraw"),-Table1[[#This Row],[Net Amount]],Table1[[#This Row],[Net Amount]])</f>
        <v>0</v>
      </c>
    </row>
    <row r="153" spans="1:13">
      <c r="A153" s="2"/>
      <c r="C153" s="3"/>
      <c r="F153" t="str" cm="1">
        <f t="array" ref="F153">_xlfn.IFS(Table1[[#This Row],[Action]]="Buy",Table1[[#This Row],[Lot ]],Table1[[#This Row],[Action]]="Sell",-Table1[[#This Row],[Lot ]],Table1[[#This Row],[Action]]="Dividend",0,TRUE,"")</f>
        <v/>
      </c>
      <c r="G153" s="4"/>
      <c r="H153" s="4" t="str" cm="1">
        <f t="array" ref="H153">IF(OR(Table1[[#This Row],[Stock Tickers]]="",Table1[[#This Row],[Action]]="Dividend"), "",IF(Table1[[#This Row],[Action]]="Buy",(SUMIFS($J$2:J152, $C$2:C152,Table1[[#This Row],[Stock Tickers]], $D$2:D152, "Buy") + Table1[[#This Row],[Amount]]) / ((SUMIFS($E$2:E152, $C$2:C152,Table1[[#This Row],[Stock Tickers]], $D$2:D152, "Buy") + Table1[[#This Row],[Lot ]])*100),LOOKUP(2, 1/($C$2:C152=Table1[[#This Row],[Stock Tickers]]), $G$2:G152)))</f>
        <v/>
      </c>
      <c r="I153" s="4"/>
      <c r="J153" s="5">
        <f>(Table1[[#This Row],[Lot ]]*100)*IF(Table1[[#This Row],[Action]]="Dividend",Table1[[#This Row],[Dividend per Share]],Table1[[#This Row],[Price]])</f>
        <v>0</v>
      </c>
      <c r="K153" s="5">
        <f t="shared" si="7"/>
        <v>0</v>
      </c>
      <c r="L153" s="5">
        <f>SUM(Table1[[#This Row],[Amount]]:Table1[[#This Row],[Total Fee]])</f>
        <v>0</v>
      </c>
      <c r="M153" s="8">
        <f>IF(OR(Table1[[#This Row],[Action]]="Buy",Table1[[#This Row],[Action]]="Withdraw"),-Table1[[#This Row],[Net Amount]],Table1[[#This Row],[Net Amount]])</f>
        <v>0</v>
      </c>
    </row>
    <row r="154" spans="1:13">
      <c r="A154" s="2"/>
      <c r="C154" s="3"/>
      <c r="F154" t="str" cm="1">
        <f t="array" ref="F154">_xlfn.IFS(Table1[[#This Row],[Action]]="Buy",Table1[[#This Row],[Lot ]],Table1[[#This Row],[Action]]="Sell",-Table1[[#This Row],[Lot ]],Table1[[#This Row],[Action]]="Dividend",0,TRUE,"")</f>
        <v/>
      </c>
      <c r="G154" s="4"/>
      <c r="H154" s="4" t="str" cm="1">
        <f t="array" ref="H154">IF(OR(Table1[[#This Row],[Stock Tickers]]="",Table1[[#This Row],[Action]]="Dividend"), "",IF(Table1[[#This Row],[Action]]="Buy",(SUMIFS($J$2:J153, $C$2:C153,Table1[[#This Row],[Stock Tickers]], $D$2:D153, "Buy") + Table1[[#This Row],[Amount]]) / ((SUMIFS($E$2:E153, $C$2:C153,Table1[[#This Row],[Stock Tickers]], $D$2:D153, "Buy") + Table1[[#This Row],[Lot ]])*100),LOOKUP(2, 1/($C$2:C153=Table1[[#This Row],[Stock Tickers]]), $G$2:G153)))</f>
        <v/>
      </c>
      <c r="I154" s="4"/>
      <c r="J154" s="5">
        <f>(Table1[[#This Row],[Lot ]]*100)*IF(Table1[[#This Row],[Action]]="Dividend",Table1[[#This Row],[Dividend per Share]],Table1[[#This Row],[Price]])</f>
        <v>0</v>
      </c>
      <c r="K154" s="5">
        <f t="shared" si="7"/>
        <v>0</v>
      </c>
      <c r="L154" s="5">
        <f>SUM(Table1[[#This Row],[Amount]]:Table1[[#This Row],[Total Fee]])</f>
        <v>0</v>
      </c>
      <c r="M154" s="8">
        <f>IF(OR(Table1[[#This Row],[Action]]="Buy",Table1[[#This Row],[Action]]="Withdraw"),-Table1[[#This Row],[Net Amount]],Table1[[#This Row],[Net Amount]])</f>
        <v>0</v>
      </c>
    </row>
    <row r="155" spans="1:13">
      <c r="A155" s="2"/>
      <c r="C155" s="3"/>
      <c r="F155" t="str" cm="1">
        <f t="array" ref="F155">_xlfn.IFS(Table1[[#This Row],[Action]]="Buy",Table1[[#This Row],[Lot ]],Table1[[#This Row],[Action]]="Sell",-Table1[[#This Row],[Lot ]],Table1[[#This Row],[Action]]="Dividend",0,TRUE,"")</f>
        <v/>
      </c>
      <c r="G155" s="4"/>
      <c r="H155" s="4" t="str" cm="1">
        <f t="array" ref="H155">IF(OR(Table1[[#This Row],[Stock Tickers]]="",Table1[[#This Row],[Action]]="Dividend"), "",IF(Table1[[#This Row],[Action]]="Buy",(SUMIFS($J$2:J154, $C$2:C154,Table1[[#This Row],[Stock Tickers]], $D$2:D154, "Buy") + Table1[[#This Row],[Amount]]) / ((SUMIFS($E$2:E154, $C$2:C154,Table1[[#This Row],[Stock Tickers]], $D$2:D154, "Buy") + Table1[[#This Row],[Lot ]])*100),LOOKUP(2, 1/($C$2:C154=Table1[[#This Row],[Stock Tickers]]), $G$2:G154)))</f>
        <v/>
      </c>
      <c r="I155" s="4"/>
      <c r="J155" s="5">
        <f>(Table1[[#This Row],[Lot ]]*100)*IF(Table1[[#This Row],[Action]]="Dividend",Table1[[#This Row],[Dividend per Share]],Table1[[#This Row],[Price]])</f>
        <v>0</v>
      </c>
      <c r="K155" s="5">
        <f t="shared" si="7"/>
        <v>0</v>
      </c>
      <c r="L155" s="5">
        <f>SUM(Table1[[#This Row],[Amount]]:Table1[[#This Row],[Total Fee]])</f>
        <v>0</v>
      </c>
      <c r="M155" s="8">
        <f>IF(OR(Table1[[#This Row],[Action]]="Buy",Table1[[#This Row],[Action]]="Withdraw"),-Table1[[#This Row],[Net Amount]],Table1[[#This Row],[Net Amount]])</f>
        <v>0</v>
      </c>
    </row>
    <row r="156" spans="1:13">
      <c r="A156" s="2"/>
      <c r="C156" s="3"/>
      <c r="F156" t="str" cm="1">
        <f t="array" ref="F156">_xlfn.IFS(Table1[[#This Row],[Action]]="Buy",Table1[[#This Row],[Lot ]],Table1[[#This Row],[Action]]="Sell",-Table1[[#This Row],[Lot ]],Table1[[#This Row],[Action]]="Dividend",0,TRUE,"")</f>
        <v/>
      </c>
      <c r="G156" s="4"/>
      <c r="H156" s="4" t="str" cm="1">
        <f t="array" ref="H156">IF(OR(Table1[[#This Row],[Stock Tickers]]="",Table1[[#This Row],[Action]]="Dividend"), "",IF(Table1[[#This Row],[Action]]="Buy",(SUMIFS($J$2:J155, $C$2:C155,Table1[[#This Row],[Stock Tickers]], $D$2:D155, "Buy") + Table1[[#This Row],[Amount]]) / ((SUMIFS($E$2:E155, $C$2:C155,Table1[[#This Row],[Stock Tickers]], $D$2:D155, "Buy") + Table1[[#This Row],[Lot ]])*100),LOOKUP(2, 1/($C$2:C155=Table1[[#This Row],[Stock Tickers]]), $G$2:G155)))</f>
        <v/>
      </c>
      <c r="I156" s="4"/>
      <c r="J156" s="5">
        <f>(Table1[[#This Row],[Lot ]]*100)*IF(Table1[[#This Row],[Action]]="Dividend",Table1[[#This Row],[Dividend per Share]],Table1[[#This Row],[Price]])</f>
        <v>0</v>
      </c>
      <c r="K156" s="5">
        <f t="shared" si="7"/>
        <v>0</v>
      </c>
      <c r="L156" s="5">
        <f>SUM(Table1[[#This Row],[Amount]]:Table1[[#This Row],[Total Fee]])</f>
        <v>0</v>
      </c>
      <c r="M156" s="8">
        <f>IF(OR(Table1[[#This Row],[Action]]="Buy",Table1[[#This Row],[Action]]="Withdraw"),-Table1[[#This Row],[Net Amount]],Table1[[#This Row],[Net Amount]])</f>
        <v>0</v>
      </c>
    </row>
    <row r="157" spans="1:13">
      <c r="A157" s="2"/>
      <c r="C157" s="3"/>
      <c r="F157" t="str" cm="1">
        <f t="array" ref="F157">_xlfn.IFS(Table1[[#This Row],[Action]]="Buy",Table1[[#This Row],[Lot ]],Table1[[#This Row],[Action]]="Sell",-Table1[[#This Row],[Lot ]],Table1[[#This Row],[Action]]="Dividend",0,TRUE,"")</f>
        <v/>
      </c>
      <c r="G157" s="4"/>
      <c r="H157" s="4" t="str" cm="1">
        <f t="array" ref="H157">IF(OR(Table1[[#This Row],[Stock Tickers]]="",Table1[[#This Row],[Action]]="Dividend"), "",IF(Table1[[#This Row],[Action]]="Buy",(SUMIFS($J$2:J156, $C$2:C156,Table1[[#This Row],[Stock Tickers]], $D$2:D156, "Buy") + Table1[[#This Row],[Amount]]) / ((SUMIFS($E$2:E156, $C$2:C156,Table1[[#This Row],[Stock Tickers]], $D$2:D156, "Buy") + Table1[[#This Row],[Lot ]])*100),LOOKUP(2, 1/($C$2:C156=Table1[[#This Row],[Stock Tickers]]), $G$2:G156)))</f>
        <v/>
      </c>
      <c r="I157" s="4"/>
      <c r="J157" s="5">
        <f>(Table1[[#This Row],[Lot ]]*100)*IF(Table1[[#This Row],[Action]]="Dividend",Table1[[#This Row],[Dividend per Share]],Table1[[#This Row],[Price]])</f>
        <v>0</v>
      </c>
      <c r="K157" s="5">
        <f t="shared" si="7"/>
        <v>0</v>
      </c>
      <c r="L157" s="5">
        <f>SUM(Table1[[#This Row],[Amount]]:Table1[[#This Row],[Total Fee]])</f>
        <v>0</v>
      </c>
      <c r="M157" s="8">
        <f>IF(OR(Table1[[#This Row],[Action]]="Buy",Table1[[#This Row],[Action]]="Withdraw"),-Table1[[#This Row],[Net Amount]],Table1[[#This Row],[Net Amount]])</f>
        <v>0</v>
      </c>
    </row>
    <row r="158" spans="1:13">
      <c r="A158" s="2"/>
      <c r="C158" s="3"/>
      <c r="F158" t="str" cm="1">
        <f t="array" ref="F158">_xlfn.IFS(Table1[[#This Row],[Action]]="Buy",Table1[[#This Row],[Lot ]],Table1[[#This Row],[Action]]="Sell",-Table1[[#This Row],[Lot ]],Table1[[#This Row],[Action]]="Dividend",0,TRUE,"")</f>
        <v/>
      </c>
      <c r="G158" s="4"/>
      <c r="H158" s="4" t="str" cm="1">
        <f t="array" ref="H158">IF(OR(Table1[[#This Row],[Stock Tickers]]="",Table1[[#This Row],[Action]]="Dividend"), "",IF(Table1[[#This Row],[Action]]="Buy",(SUMIFS($J$2:J157, $C$2:C157,Table1[[#This Row],[Stock Tickers]], $D$2:D157, "Buy") + Table1[[#This Row],[Amount]]) / ((SUMIFS($E$2:E157, $C$2:C157,Table1[[#This Row],[Stock Tickers]], $D$2:D157, "Buy") + Table1[[#This Row],[Lot ]])*100),LOOKUP(2, 1/($C$2:C157=Table1[[#This Row],[Stock Tickers]]), $G$2:G157)))</f>
        <v/>
      </c>
      <c r="I158" s="4"/>
      <c r="J158" s="5">
        <f>(Table1[[#This Row],[Lot ]]*100)*IF(Table1[[#This Row],[Action]]="Dividend",Table1[[#This Row],[Dividend per Share]],Table1[[#This Row],[Price]])</f>
        <v>0</v>
      </c>
      <c r="K158" s="5">
        <f t="shared" si="7"/>
        <v>0</v>
      </c>
      <c r="L158" s="5">
        <f>SUM(Table1[[#This Row],[Amount]]:Table1[[#This Row],[Total Fee]])</f>
        <v>0</v>
      </c>
      <c r="M158" s="8">
        <f>IF(OR(Table1[[#This Row],[Action]]="Buy",Table1[[#This Row],[Action]]="Withdraw"),-Table1[[#This Row],[Net Amount]],Table1[[#This Row],[Net Amount]])</f>
        <v>0</v>
      </c>
    </row>
    <row r="159" spans="1:13">
      <c r="A159" s="2"/>
      <c r="C159" s="3"/>
      <c r="F159" t="str" cm="1">
        <f t="array" ref="F159">_xlfn.IFS(Table1[[#This Row],[Action]]="Buy",Table1[[#This Row],[Lot ]],Table1[[#This Row],[Action]]="Sell",-Table1[[#This Row],[Lot ]],Table1[[#This Row],[Action]]="Dividend",0,TRUE,"")</f>
        <v/>
      </c>
      <c r="G159" s="4"/>
      <c r="H159" s="4" t="str" cm="1">
        <f t="array" ref="H159">IF(OR(Table1[[#This Row],[Stock Tickers]]="",Table1[[#This Row],[Action]]="Dividend"), "",IF(Table1[[#This Row],[Action]]="Buy",(SUMIFS($J$2:J158, $C$2:C158,Table1[[#This Row],[Stock Tickers]], $D$2:D158, "Buy") + Table1[[#This Row],[Amount]]) / ((SUMIFS($E$2:E158, $C$2:C158,Table1[[#This Row],[Stock Tickers]], $D$2:D158, "Buy") + Table1[[#This Row],[Lot ]])*100),LOOKUP(2, 1/($C$2:C158=Table1[[#This Row],[Stock Tickers]]), $G$2:G158)))</f>
        <v/>
      </c>
      <c r="I159" s="4"/>
      <c r="J159" s="5">
        <f>(Table1[[#This Row],[Lot ]]*100)*IF(Table1[[#This Row],[Action]]="Dividend",Table1[[#This Row],[Dividend per Share]],Table1[[#This Row],[Price]])</f>
        <v>0</v>
      </c>
      <c r="K159" s="5">
        <f t="shared" si="7"/>
        <v>0</v>
      </c>
      <c r="L159" s="5">
        <f>SUM(Table1[[#This Row],[Amount]]:Table1[[#This Row],[Total Fee]])</f>
        <v>0</v>
      </c>
      <c r="M159" s="8">
        <f>IF(OR(Table1[[#This Row],[Action]]="Buy",Table1[[#This Row],[Action]]="Withdraw"),-Table1[[#This Row],[Net Amount]],Table1[[#This Row],[Net Amount]])</f>
        <v>0</v>
      </c>
    </row>
    <row r="160" spans="1:13">
      <c r="A160" s="2"/>
      <c r="B160" s="2"/>
      <c r="C160" s="3"/>
      <c r="G160" s="4"/>
      <c r="H160" s="4" t="str" cm="1">
        <f t="array" ref="H160">IF(OR(Table1[[#This Row],[Stock Tickers]]="",Table1[[#This Row],[Action]]="Dividend"), "",IF(Table1[[#This Row],[Action]]="Buy",(SUMIFS($J$2:J159, $C$2:C159,Table1[[#This Row],[Stock Tickers]], $D$2:D159, "Buy") + Table1[[#This Row],[Amount]]) / ((SUMIFS($E$2:E159, $C$2:C159,Table1[[#This Row],[Stock Tickers]], $D$2:D159, "Buy") + Table1[[#This Row],[Lot ]])*100),LOOKUP(2, 1/($C$2:C159=Table1[[#This Row],[Stock Tickers]]), $G$2:G159)))</f>
        <v/>
      </c>
      <c r="I160" s="4"/>
      <c r="J160" s="5">
        <f>(Table1[[#This Row],[Lot ]]*100)*IF(Table1[[#This Row],[Action]]="Dividend",Table1[[#This Row],[Dividend per Share]],Table1[[#This Row],[Price]])</f>
        <v>0</v>
      </c>
      <c r="K160" s="5">
        <f t="shared" si="7"/>
        <v>0</v>
      </c>
      <c r="L160" s="5">
        <f>SUM(Table1[[#This Row],[Amount]]:Table1[[#This Row],[Total Fee]])</f>
        <v>0</v>
      </c>
      <c r="M160" s="8">
        <f>IF(OR(Table1[[#This Row],[Action]]="Buy",Table1[[#This Row],[Action]]="Withdraw"),-Table1[[#This Row],[Net Amount]],Table1[[#This Row],[Net Amount]])</f>
        <v>0</v>
      </c>
    </row>
    <row r="161" spans="1:13">
      <c r="A161" s="2"/>
      <c r="B161" s="2"/>
      <c r="C161" s="3"/>
      <c r="F161" t="str" cm="1">
        <f t="array" ref="F161">_xlfn.IFS(Table1[[#This Row],[Action]]="Buy",Table1[[#This Row],[Lot ]],Table1[[#This Row],[Action]]="Sell",-Table1[[#This Row],[Lot ]],Table1[[#This Row],[Action]]="Dividend",0,TRUE,"")</f>
        <v/>
      </c>
      <c r="G161" s="4"/>
      <c r="H161" s="4" t="str" cm="1">
        <f t="array" ref="H161">IF(OR(C161=0, C161=""), "",
  IF(D161="Buy",
    (SUMIFS($J$2:J160, $C$2:C160, C161, $D$2:D160, "Buy") + J161) / (SUMIFS($E$2:E160, $C$2:C160, C161, $D$2:D160, "Buy") + E161),
    LOOKUP(2, 1/($C$2:C160=C161), $G$2:G160)
  )
)</f>
        <v/>
      </c>
      <c r="I161" s="4"/>
      <c r="J161" s="5">
        <f>(E161*100)*IF(D161="Dividend",I161,G161)</f>
        <v>0</v>
      </c>
      <c r="K161" s="5">
        <f t="shared" si="7"/>
        <v>0</v>
      </c>
      <c r="L161" s="5">
        <f>SUM(Table1[[#This Row],[Amount]]:Table1[[#This Row],[Total Fee]])</f>
        <v>0</v>
      </c>
      <c r="M161" s="8">
        <f>IF(OR(Table1[[#This Row],[Action]]="Buy",Table1[[#This Row],[Action]]="Withdraw"),-Table1[[#This Row],[Net Amount]],Table1[[#This Row],[Net Amount]])</f>
        <v>0</v>
      </c>
    </row>
    <row r="162" spans="1:13">
      <c r="A162" s="2"/>
      <c r="B162" s="2"/>
      <c r="C162" s="3"/>
      <c r="F162" t="str" cm="1">
        <f t="array" ref="F162">_xlfn.IFS(Table1[[#This Row],[Action]]="Buy",Table1[[#This Row],[Lot ]],Table1[[#This Row],[Action]]="Sell",-Table1[[#This Row],[Lot ]],Table1[[#This Row],[Action]]="Dividend",0,TRUE,"")</f>
        <v/>
      </c>
      <c r="G162" s="4"/>
      <c r="H162" s="4" t="str" cm="1">
        <f t="array" ref="H162">IF(OR(C162=0, C162=""), "",
  IF(D162="Buy",
    (SUMIFS($J$2:J161, $C$2:C161, C162, $D$2:D161, "Buy") + J162) / (SUMIFS($E$2:E161, $C$2:C161, C162, $D$2:D161, "Buy") + E162),
    LOOKUP(2, 1/($C$2:C161=C162), $G$2:G161)
  )
)</f>
        <v/>
      </c>
      <c r="I162" s="4"/>
      <c r="J162" s="5">
        <f>(E162*100)*IF(D162="Dividend",I162,G162)</f>
        <v>0</v>
      </c>
      <c r="K162" s="5">
        <f t="shared" si="7"/>
        <v>0</v>
      </c>
      <c r="L162" s="5">
        <f>SUM(Table1[[#This Row],[Amount]]:Table1[[#This Row],[Total Fee]])</f>
        <v>0</v>
      </c>
      <c r="M162" s="8">
        <f>IF(OR(Table1[[#This Row],[Action]]="Buy",Table1[[#This Row],[Action]]="Withdraw"),-Table1[[#This Row],[Net Amount]],Table1[[#This Row],[Net Amount]])</f>
        <v>0</v>
      </c>
    </row>
    <row r="163" spans="1:13">
      <c r="A163" s="2"/>
      <c r="B163" s="2"/>
      <c r="C163" s="3"/>
      <c r="F163" t="str" cm="1">
        <f t="array" ref="F163">_xlfn.IFS(Table1[[#This Row],[Action]]="Buy",Table1[[#This Row],[Lot ]],Table1[[#This Row],[Action]]="Sell",-Table1[[#This Row],[Lot ]],Table1[[#This Row],[Action]]="Dividend",0,TRUE,"")</f>
        <v/>
      </c>
      <c r="G163" s="4"/>
      <c r="H163" s="4" t="str" cm="1">
        <f t="array" ref="H163">IF(OR(C163=0, C163=""), "",
  IF(D163="Buy",
    (SUMIFS($J$2:J162, $C$2:C162, C163, $D$2:D162, "Buy") + J163) / (SUMIFS($E$2:E162, $C$2:C162, C163, $D$2:D162, "Buy") + E163),
    LOOKUP(2, 1/($C$2:C162=C163), $G$2:G162)
  )
)</f>
        <v/>
      </c>
      <c r="I163" s="4"/>
      <c r="J163" s="5">
        <f>(E163*100)*IF(D163="Dividend",I163,G163)</f>
        <v>0</v>
      </c>
      <c r="K163" s="5">
        <f t="shared" si="7"/>
        <v>0</v>
      </c>
      <c r="L163" s="5">
        <f>SUM(Table1[[#This Row],[Amount]]:Table1[[#This Row],[Total Fee]])</f>
        <v>0</v>
      </c>
      <c r="M163" s="8">
        <f>IF(OR(Table1[[#This Row],[Action]]="Buy",Table1[[#This Row],[Action]]="Withdraw"),-Table1[[#This Row],[Net Amount]],Table1[[#This Row],[Net Amount]])</f>
        <v>0</v>
      </c>
    </row>
    <row r="164" spans="1:13">
      <c r="A164" s="2"/>
      <c r="B164" s="2"/>
      <c r="C164" s="3"/>
      <c r="F164" t="str" cm="1">
        <f t="array" ref="F164">_xlfn.IFS(Table1[[#This Row],[Action]]="Buy",Table1[[#This Row],[Lot ]],Table1[[#This Row],[Action]]="Sell",-Table1[[#This Row],[Lot ]],Table1[[#This Row],[Action]]="Dividend",0,TRUE,"")</f>
        <v/>
      </c>
      <c r="G164" s="4"/>
      <c r="H164" s="4" t="str" cm="1">
        <f t="array" ref="H164">IF(OR(C164=0, C164=""), "",
  IF(D164="Buy",
    (SUMIFS($J$2:J163, $C$2:C163, C164, $D$2:D163, "Buy") + J164) / (SUMIFS($E$2:E163, $C$2:C163, C164, $D$2:D163, "Buy") + E164),
    LOOKUP(2, 1/($C$2:C163=C164), $G$2:G163)
  )
)</f>
        <v/>
      </c>
      <c r="I164" s="4"/>
      <c r="J164" s="5">
        <f>(E164*100)*IF(D164="Dividend",I164,G164)</f>
        <v>0</v>
      </c>
      <c r="K164" s="5">
        <f t="shared" si="7"/>
        <v>0</v>
      </c>
      <c r="L164" s="5">
        <f>SUM(Table1[[#This Row],[Amount]]:Table1[[#This Row],[Total Fee]])</f>
        <v>0</v>
      </c>
      <c r="M164" s="8">
        <f>IF(OR(Table1[[#This Row],[Action]]="Buy",Table1[[#This Row],[Action]]="Withdraw"),-Table1[[#This Row],[Net Amount]],Table1[[#This Row],[Net Amount]])</f>
        <v>0</v>
      </c>
    </row>
    <row r="165" spans="1:13">
      <c r="A165" s="2"/>
      <c r="C165" s="3"/>
      <c r="G165" s="4"/>
      <c r="H165" s="4"/>
      <c r="I165" s="4"/>
      <c r="J165" s="5"/>
      <c r="K165" s="5"/>
      <c r="L165" s="5"/>
      <c r="M165" s="8"/>
    </row>
    <row r="166" spans="1:13">
      <c r="A166" s="2"/>
      <c r="C166" s="3"/>
      <c r="G166" s="4"/>
      <c r="H166" s="4"/>
      <c r="I166" s="4"/>
      <c r="J166" s="5"/>
      <c r="K166" s="5"/>
      <c r="L166" s="5"/>
      <c r="M166" s="8"/>
    </row>
    <row r="167" spans="1:13">
      <c r="A167" s="2"/>
      <c r="C167" s="3"/>
      <c r="G167" s="4"/>
      <c r="H167" s="4"/>
      <c r="I167" s="4"/>
      <c r="J167" s="5"/>
      <c r="K167" s="5"/>
      <c r="L167" s="5"/>
      <c r="M167" s="8"/>
    </row>
    <row r="168" spans="1:13">
      <c r="A168" s="2"/>
      <c r="C168" s="3"/>
      <c r="G168" s="4"/>
      <c r="H168" s="4"/>
      <c r="I168" s="4"/>
      <c r="J168" s="5"/>
      <c r="K168" s="5"/>
      <c r="L168" s="5"/>
      <c r="M168" s="8"/>
    </row>
    <row r="169" spans="1:13">
      <c r="A169" s="2"/>
      <c r="C169" s="3"/>
      <c r="G169" s="4"/>
      <c r="H169" s="4"/>
      <c r="I169" s="4"/>
      <c r="J169" s="5"/>
      <c r="K169" s="5"/>
      <c r="L169" s="5"/>
      <c r="M169" s="8"/>
    </row>
    <row r="170" spans="1:13">
      <c r="A170" s="2"/>
      <c r="C170" s="3"/>
      <c r="G170" s="4"/>
      <c r="H170" s="4"/>
      <c r="I170" s="4"/>
      <c r="J170" s="5"/>
      <c r="K170" s="5"/>
      <c r="L170" s="5"/>
      <c r="M170" s="8"/>
    </row>
    <row r="171" spans="1:13">
      <c r="A171" s="2"/>
      <c r="C171" s="3"/>
      <c r="G171" s="4"/>
      <c r="H171" s="4"/>
      <c r="I171" s="4"/>
      <c r="J171" s="5"/>
      <c r="K171" s="5"/>
      <c r="L171" s="5"/>
      <c r="M171" s="8"/>
    </row>
    <row r="172" spans="1:13">
      <c r="A172" s="2"/>
      <c r="C172" s="3"/>
      <c r="G172" s="4"/>
      <c r="H172" s="4"/>
      <c r="I172" s="4"/>
      <c r="J172" s="5"/>
      <c r="K172" s="5"/>
      <c r="L172" s="5"/>
      <c r="M172" s="8"/>
    </row>
    <row r="173" spans="1:13">
      <c r="A173" s="2"/>
      <c r="C173" s="3"/>
      <c r="G173" s="4"/>
      <c r="H173" s="4"/>
      <c r="I173" s="4"/>
      <c r="J173" s="5"/>
      <c r="K173" s="5"/>
      <c r="L173" s="5"/>
      <c r="M173" s="8"/>
    </row>
    <row r="174" spans="1:13">
      <c r="A174" s="2"/>
      <c r="C174" s="3"/>
      <c r="G174" s="4"/>
      <c r="H174" s="4"/>
      <c r="I174" s="4"/>
      <c r="J174" s="5"/>
      <c r="K174" s="5"/>
      <c r="L174" s="5"/>
      <c r="M174" s="8"/>
    </row>
    <row r="175" spans="1:13">
      <c r="A175" s="2"/>
      <c r="C175" s="3"/>
      <c r="G175" s="4"/>
      <c r="H175" s="4"/>
      <c r="I175" s="4"/>
      <c r="J175" s="5"/>
      <c r="K175" s="5"/>
      <c r="L175" s="5"/>
      <c r="M175" s="8"/>
    </row>
    <row r="176" spans="1:13">
      <c r="A176" s="2"/>
      <c r="C176" s="3"/>
      <c r="G176" s="4"/>
      <c r="H176" s="4"/>
      <c r="I176" s="4"/>
      <c r="J176" s="5"/>
      <c r="K176" s="5"/>
      <c r="L176" s="5"/>
      <c r="M176" s="8"/>
    </row>
    <row r="177" spans="1:13">
      <c r="A177" s="2"/>
      <c r="C177" s="3"/>
      <c r="G177" s="4"/>
      <c r="H177" s="4"/>
      <c r="I177" s="4"/>
      <c r="J177" s="5"/>
      <c r="K177" s="5"/>
      <c r="L177" s="5"/>
      <c r="M177" s="8"/>
    </row>
    <row r="178" spans="1:13">
      <c r="A178" s="2"/>
      <c r="C178" s="3"/>
      <c r="G178" s="4"/>
      <c r="H178" s="4"/>
      <c r="I178" s="4"/>
      <c r="J178" s="5"/>
      <c r="K178" s="5"/>
      <c r="L178" s="5"/>
      <c r="M178" s="8"/>
    </row>
    <row r="179" spans="1:13">
      <c r="A179" s="2"/>
      <c r="C179" s="3"/>
      <c r="G179" s="4"/>
      <c r="H179" s="4"/>
      <c r="I179" s="4"/>
      <c r="J179" s="5"/>
      <c r="K179" s="5"/>
      <c r="L179" s="5"/>
      <c r="M179" s="8"/>
    </row>
    <row r="180" spans="1:13">
      <c r="A180" s="2"/>
      <c r="C180" s="3"/>
      <c r="G180" s="4"/>
      <c r="H180" s="4"/>
      <c r="I180" s="4"/>
      <c r="J180" s="5"/>
      <c r="K180" s="5"/>
      <c r="L180" s="5"/>
      <c r="M180" s="8"/>
    </row>
    <row r="181" spans="1:13">
      <c r="A181" s="2"/>
      <c r="C181" s="3"/>
      <c r="G181" s="4"/>
      <c r="H181" s="4"/>
      <c r="I181" s="4"/>
      <c r="J181" s="5"/>
      <c r="K181" s="5"/>
      <c r="L181" s="5"/>
      <c r="M181" s="8"/>
    </row>
    <row r="182" spans="1:13">
      <c r="A182" s="2"/>
      <c r="C182" s="3"/>
      <c r="G182" s="4"/>
      <c r="H182" s="4"/>
      <c r="I182" s="4"/>
      <c r="J182" s="5"/>
      <c r="K182" s="5"/>
      <c r="L182" s="5"/>
      <c r="M182" s="8"/>
    </row>
    <row r="183" spans="1:13">
      <c r="A183" s="2"/>
      <c r="C183" s="3"/>
      <c r="G183" s="4"/>
      <c r="H183" s="4"/>
      <c r="I183" s="4"/>
      <c r="J183" s="5"/>
      <c r="K183" s="5"/>
      <c r="L183" s="5"/>
      <c r="M183" s="8"/>
    </row>
    <row r="184" spans="1:13">
      <c r="A184" s="2"/>
      <c r="C184" s="3"/>
      <c r="G184" s="4"/>
      <c r="H184" s="4"/>
      <c r="I184" s="4"/>
      <c r="J184" s="5"/>
      <c r="K184" s="5"/>
      <c r="L184" s="5"/>
      <c r="M184" s="8"/>
    </row>
    <row r="185" spans="1:13">
      <c r="A185" s="2"/>
      <c r="C185" s="3"/>
      <c r="G185" s="4"/>
      <c r="H185" s="4"/>
      <c r="I185" s="4"/>
      <c r="J185" s="5"/>
      <c r="K185" s="5"/>
      <c r="L185" s="5"/>
      <c r="M185" s="8"/>
    </row>
    <row r="186" spans="1:13">
      <c r="A186" s="2"/>
      <c r="C186" s="3"/>
      <c r="G186" s="4"/>
      <c r="H186" s="4"/>
      <c r="I186" s="4"/>
      <c r="J186" s="5"/>
      <c r="K186" s="5"/>
      <c r="L186" s="5"/>
      <c r="M186" s="8"/>
    </row>
    <row r="187" spans="1:13">
      <c r="A187" s="2"/>
      <c r="C187" s="3"/>
      <c r="G187" s="4"/>
      <c r="H187" s="4"/>
      <c r="I187" s="4"/>
      <c r="J187" s="5"/>
      <c r="K187" s="5"/>
      <c r="L187" s="5"/>
      <c r="M187" s="8"/>
    </row>
    <row r="188" spans="1:13">
      <c r="A188" s="2"/>
      <c r="C188" s="3"/>
      <c r="G188" s="4"/>
      <c r="H188" s="4"/>
      <c r="I188" s="4"/>
      <c r="J188" s="5"/>
      <c r="K188" s="5"/>
      <c r="L188" s="5"/>
      <c r="M188" s="8"/>
    </row>
    <row r="189" spans="1:13">
      <c r="A189" s="2"/>
      <c r="C189" s="3"/>
      <c r="G189" s="4"/>
      <c r="H189" s="4"/>
      <c r="I189" s="4"/>
      <c r="J189" s="5"/>
      <c r="K189" s="5"/>
      <c r="L189" s="5"/>
      <c r="M189"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49C9E-E7AE-6440-A3F9-5531F8496B81}">
  <dimension ref="A1:L97"/>
  <sheetViews>
    <sheetView workbookViewId="0">
      <selection activeCell="C1" sqref="C1"/>
    </sheetView>
  </sheetViews>
  <sheetFormatPr baseColWidth="10" defaultRowHeight="16"/>
  <cols>
    <col min="1" max="1" width="13.1640625" customWidth="1"/>
    <col min="2" max="2" width="19" customWidth="1"/>
    <col min="3" max="3" width="16.5" customWidth="1"/>
    <col min="4" max="4" width="19.5" customWidth="1"/>
    <col min="5" max="5" width="16.83203125" customWidth="1"/>
    <col min="6" max="6" width="16.1640625" customWidth="1"/>
    <col min="7" max="7" width="17.33203125" customWidth="1"/>
    <col min="8" max="9" width="16.6640625" customWidth="1"/>
    <col min="10" max="10" width="17.83203125" customWidth="1"/>
    <col min="11" max="11" width="16.5" customWidth="1"/>
    <col min="12" max="12" width="16.1640625" customWidth="1"/>
    <col min="14" max="23" width="14.83203125" bestFit="1" customWidth="1"/>
    <col min="24" max="25" width="15.83203125" bestFit="1" customWidth="1"/>
  </cols>
  <sheetData>
    <row r="1" spans="1:12">
      <c r="A1" t="s">
        <v>44</v>
      </c>
      <c r="B1" t="s">
        <v>45</v>
      </c>
      <c r="C1" t="s">
        <v>46</v>
      </c>
      <c r="D1" t="s">
        <v>47</v>
      </c>
      <c r="E1" t="s">
        <v>48</v>
      </c>
      <c r="F1" t="s">
        <v>49</v>
      </c>
      <c r="G1" t="s">
        <v>50</v>
      </c>
      <c r="H1" t="s">
        <v>51</v>
      </c>
      <c r="I1" t="s">
        <v>52</v>
      </c>
      <c r="J1" t="s">
        <v>53</v>
      </c>
      <c r="K1" t="s">
        <v>54</v>
      </c>
      <c r="L1" t="s">
        <v>55</v>
      </c>
    </row>
    <row r="2" spans="1:12">
      <c r="A2" t="str">
        <f>'Database '!$A$11</f>
        <v>ADRO</v>
      </c>
      <c r="B2" s="11">
        <f>'Database '!B28</f>
        <v>0.06</v>
      </c>
      <c r="C2" s="5">
        <f ca="1">SUMIF('Database '!$A$11:$A$22,A2,'Database '!$G$11:$G$22)*(1+Table2[[#This Row],[Growth Percentage]])^(Table2[[#Headers],[2027]]-YEAR(TODAY()))</f>
        <v>65010142.163759999</v>
      </c>
      <c r="D2" s="5">
        <f ca="1">SUMIF('Database '!$A$11:$A$22,A2,'Database '!$G$11:$G$22)*(1+Table2[[#This Row],[Growth Percentage]])^(Table2[[#Headers],[2028]]-YEAR(TODAY()))</f>
        <v>68910750.693585604</v>
      </c>
      <c r="E2" s="5">
        <f ca="1">SUMIF('Database '!$A$11:$A$22,A2,'Database '!$G$11:$G$22)*(1+Table2[[#This Row],[Growth Percentage]])^(Table2[[#Headers],[2029]]-YEAR(TODAY()))</f>
        <v>73045395.735200748</v>
      </c>
      <c r="F2" s="5">
        <f ca="1">SUMIF('Database '!$A$11:$A$22,A2,'Database '!$G$11:$G$22)*(1+Table2[[#This Row],[Growth Percentage]])^(Table2[[#Headers],[2030]]-YEAR(TODAY()))</f>
        <v>77428119.479312792</v>
      </c>
      <c r="G2" s="5">
        <f ca="1">SUMIF('Database '!$A$11:$A$22,A2,'Database '!$G$11:$G$22)*(1+Table2[[#This Row],[Growth Percentage]])^(Table2[[#Headers],[2031]]-YEAR(TODAY()))</f>
        <v>82073806.648071572</v>
      </c>
      <c r="H2" s="5">
        <f ca="1">SUMIF('Database '!$A$11:$A$22,A2,'Database '!$G$11:$G$22)*(1+Table2[[#This Row],[Growth Percentage]])^(Table2[[#Headers],[2032]]-YEAR(TODAY()))</f>
        <v>86998235.046955869</v>
      </c>
      <c r="I2" s="5">
        <f ca="1">SUMIF('Database '!$A$11:$A$22,A2,'Database '!$G$11:$G$22)*(1+Table2[[#This Row],[Growth Percentage]])^(Table2[[#Headers],[2033]]-YEAR(TODAY()))</f>
        <v>92218129.14977324</v>
      </c>
      <c r="J2" s="5">
        <f ca="1">SUMIF('Database '!$A$11:$A$22,A2,'Database '!$G$11:$G$22)*(1+Table2[[#This Row],[Growth Percentage]])^(Table2[[#Headers],[2034]]-YEAR(TODAY()))</f>
        <v>97751216.898759618</v>
      </c>
      <c r="K2" s="5">
        <f ca="1">SUMIF('Database '!$A$11:$A$22,A2,'Database '!$G$11:$G$22)*(1+Table2[[#This Row],[Growth Percentage]])^(Table2[[#Headers],[2035]]-YEAR(TODAY()))</f>
        <v>103616289.9126852</v>
      </c>
      <c r="L2" s="5">
        <f ca="1">SUMIF('Database '!$A$11:$A$22,A2,'Database '!$G$11:$G$22)*(1+Table2[[#This Row],[Growth Percentage]])^(Table2[[#Headers],[2036]]-YEAR(TODAY()))</f>
        <v>109833267.30744632</v>
      </c>
    </row>
    <row r="3" spans="1:12">
      <c r="A3" t="str">
        <f>'Database '!$A$11</f>
        <v>ADRO</v>
      </c>
      <c r="B3" s="10">
        <f>'Database '!C28</f>
        <v>7.0000000000000007E-2</v>
      </c>
      <c r="C3" s="5">
        <f ca="1">SUMIF('Database '!$A$11:$A$22,A3,'Database '!$G$11:$G$22)*(1+Table2[[#This Row],[Growth Percentage]])^(Table2[[#Headers],[2027]]-YEAR(TODAY()))</f>
        <v>65623445.391719997</v>
      </c>
      <c r="D3" s="5">
        <f ca="1">SUMIF('Database '!$A$11:$A$22,A3,'Database '!$G$11:$G$22)*(1+Table2[[#This Row],[Growth Percentage]])^(Table2[[#Headers],[2028]]-YEAR(TODAY()))</f>
        <v>70217086.569140404</v>
      </c>
      <c r="E3" s="5">
        <f ca="1">SUMIF('Database '!$A$11:$A$22,A3,'Database '!$G$11:$G$22)*(1+Table2[[#This Row],[Growth Percentage]])^(Table2[[#Headers],[2029]]-YEAR(TODAY()))</f>
        <v>75132282.628980234</v>
      </c>
      <c r="F3" s="5">
        <f ca="1">SUMIF('Database '!$A$11:$A$22,A3,'Database '!$G$11:$G$22)*(1+Table2[[#This Row],[Growth Percentage]])^(Table2[[#Headers],[2030]]-YEAR(TODAY()))</f>
        <v>80391542.413008839</v>
      </c>
      <c r="G3" s="5">
        <f ca="1">SUMIF('Database '!$A$11:$A$22,A3,'Database '!$G$11:$G$22)*(1+Table2[[#This Row],[Growth Percentage]])^(Table2[[#Headers],[2031]]-YEAR(TODAY()))</f>
        <v>86018950.381919473</v>
      </c>
      <c r="H3" s="5">
        <f ca="1">SUMIF('Database '!$A$11:$A$22,A3,'Database '!$G$11:$G$22)*(1+Table2[[#This Row],[Growth Percentage]])^(Table2[[#Headers],[2032]]-YEAR(TODAY()))</f>
        <v>92040276.908653826</v>
      </c>
      <c r="I3" s="5">
        <f ca="1">SUMIF('Database '!$A$11:$A$22,A3,'Database '!$G$11:$G$22)*(1+Table2[[#This Row],[Growth Percentage]])^(Table2[[#Headers],[2033]]-YEAR(TODAY()))</f>
        <v>98483096.292259604</v>
      </c>
      <c r="J3" s="5">
        <f ca="1">SUMIF('Database '!$A$11:$A$22,A3,'Database '!$G$11:$G$22)*(1+Table2[[#This Row],[Growth Percentage]])^(Table2[[#Headers],[2034]]-YEAR(TODAY()))</f>
        <v>105376913.03271776</v>
      </c>
      <c r="K3" s="5">
        <f ca="1">SUMIF('Database '!$A$11:$A$22,A3,'Database '!$G$11:$G$22)*(1+Table2[[#This Row],[Growth Percentage]])^(Table2[[#Headers],[2035]]-YEAR(TODAY()))</f>
        <v>112753296.94500802</v>
      </c>
      <c r="L3" s="5">
        <f ca="1">SUMIF('Database '!$A$11:$A$22,A3,'Database '!$G$11:$G$22)*(1+Table2[[#This Row],[Growth Percentage]])^(Table2[[#Headers],[2036]]-YEAR(TODAY()))</f>
        <v>120646027.73115858</v>
      </c>
    </row>
    <row r="4" spans="1:12">
      <c r="A4" t="str">
        <f>'Database '!$A$11</f>
        <v>ADRO</v>
      </c>
      <c r="B4" s="11">
        <f>'Database '!D28</f>
        <v>0.08</v>
      </c>
      <c r="C4" s="5">
        <f ca="1">SUMIF('Database '!$A$11:$A$22,A4,'Database '!$G$11:$G$22)*(1+Table2[[#This Row],[Growth Percentage]])^(Table2[[#Headers],[2027]]-YEAR(TODAY()))</f>
        <v>66236748.619680002</v>
      </c>
      <c r="D4" s="5">
        <f ca="1">SUMIF('Database '!$A$11:$A$22,A4,'Database '!$G$11:$G$22)*(1+Table2[[#This Row],[Growth Percentage]])^(Table2[[#Headers],[2028]]-YEAR(TODAY()))</f>
        <v>71535688.509254396</v>
      </c>
      <c r="E4" s="5">
        <f ca="1">SUMIF('Database '!$A$11:$A$22,A4,'Database '!$G$11:$G$22)*(1+Table2[[#This Row],[Growth Percentage]])^(Table2[[#Headers],[2029]]-YEAR(TODAY()))</f>
        <v>77258543.589994758</v>
      </c>
      <c r="F4" s="5">
        <f ca="1">SUMIF('Database '!$A$11:$A$22,A4,'Database '!$G$11:$G$22)*(1+Table2[[#This Row],[Growth Percentage]])^(Table2[[#Headers],[2030]]-YEAR(TODAY()))</f>
        <v>83439227.077194348</v>
      </c>
      <c r="G4" s="5">
        <f ca="1">SUMIF('Database '!$A$11:$A$22,A4,'Database '!$G$11:$G$22)*(1+Table2[[#This Row],[Growth Percentage]])^(Table2[[#Headers],[2031]]-YEAR(TODAY()))</f>
        <v>90114365.243369892</v>
      </c>
      <c r="H4" s="5">
        <f ca="1">SUMIF('Database '!$A$11:$A$22,A4,'Database '!$G$11:$G$22)*(1+Table2[[#This Row],[Growth Percentage]])^(Table2[[#Headers],[2032]]-YEAR(TODAY()))</f>
        <v>97323514.462839499</v>
      </c>
      <c r="I4" s="5">
        <f ca="1">SUMIF('Database '!$A$11:$A$22,A4,'Database '!$G$11:$G$22)*(1+Table2[[#This Row],[Growth Percentage]])^(Table2[[#Headers],[2033]]-YEAR(TODAY()))</f>
        <v>105109395.61986665</v>
      </c>
      <c r="J4" s="5">
        <f ca="1">SUMIF('Database '!$A$11:$A$22,A4,'Database '!$G$11:$G$22)*(1+Table2[[#This Row],[Growth Percentage]])^(Table2[[#Headers],[2034]]-YEAR(TODAY()))</f>
        <v>113518147.269456</v>
      </c>
      <c r="K4" s="5">
        <f ca="1">SUMIF('Database '!$A$11:$A$22,A4,'Database '!$G$11:$G$22)*(1+Table2[[#This Row],[Growth Percentage]])^(Table2[[#Headers],[2035]]-YEAR(TODAY()))</f>
        <v>122599599.05101249</v>
      </c>
      <c r="L4" s="5">
        <f ca="1">SUMIF('Database '!$A$11:$A$22,A4,'Database '!$G$11:$G$22)*(1+Table2[[#This Row],[Growth Percentage]])^(Table2[[#Headers],[2036]]-YEAR(TODAY()))</f>
        <v>132407566.97509348</v>
      </c>
    </row>
    <row r="5" spans="1:12">
      <c r="A5" t="str">
        <f>'Database '!$A$11</f>
        <v>ADRO</v>
      </c>
      <c r="B5" s="10">
        <f>'Database '!E28</f>
        <v>0.09</v>
      </c>
      <c r="C5" s="5">
        <f ca="1">SUMIF('Database '!$A$11:$A$22,A5,'Database '!$G$11:$G$22)*(1+Table2[[#This Row],[Growth Percentage]])^(Table2[[#Headers],[2027]]-YEAR(TODAY()))</f>
        <v>66850051.84764</v>
      </c>
      <c r="D5" s="5">
        <f ca="1">SUMIF('Database '!$A$11:$A$22,A5,'Database '!$G$11:$G$22)*(1+Table2[[#This Row],[Growth Percentage]])^(Table2[[#Headers],[2028]]-YEAR(TODAY()))</f>
        <v>72866556.513927609</v>
      </c>
      <c r="E5" s="5">
        <f ca="1">SUMIF('Database '!$A$11:$A$22,A5,'Database '!$G$11:$G$22)*(1+Table2[[#This Row],[Growth Percentage]])^(Table2[[#Headers],[2029]]-YEAR(TODAY()))</f>
        <v>79424546.600181088</v>
      </c>
      <c r="F5" s="5">
        <f ca="1">SUMIF('Database '!$A$11:$A$22,A5,'Database '!$G$11:$G$22)*(1+Table2[[#This Row],[Growth Percentage]])^(Table2[[#Headers],[2030]]-YEAR(TODAY()))</f>
        <v>86572755.794197395</v>
      </c>
      <c r="G5" s="5">
        <f ca="1">SUMIF('Database '!$A$11:$A$22,A5,'Database '!$G$11:$G$22)*(1+Table2[[#This Row],[Growth Percentage]])^(Table2[[#Headers],[2031]]-YEAR(TODAY()))</f>
        <v>94364303.815675169</v>
      </c>
      <c r="H5" s="5">
        <f ca="1">SUMIF('Database '!$A$11:$A$22,A5,'Database '!$G$11:$G$22)*(1+Table2[[#This Row],[Growth Percentage]])^(Table2[[#Headers],[2032]]-YEAR(TODAY()))</f>
        <v>102857091.15908594</v>
      </c>
      <c r="I5" s="5">
        <f ca="1">SUMIF('Database '!$A$11:$A$22,A5,'Database '!$G$11:$G$22)*(1+Table2[[#This Row],[Growth Percentage]])^(Table2[[#Headers],[2033]]-YEAR(TODAY()))</f>
        <v>112114229.36340368</v>
      </c>
      <c r="J5" s="5">
        <f ca="1">SUMIF('Database '!$A$11:$A$22,A5,'Database '!$G$11:$G$22)*(1+Table2[[#This Row],[Growth Percentage]])^(Table2[[#Headers],[2034]]-YEAR(TODAY()))</f>
        <v>122204510.00611001</v>
      </c>
      <c r="K5" s="5">
        <f ca="1">SUMIF('Database '!$A$11:$A$22,A5,'Database '!$G$11:$G$22)*(1+Table2[[#This Row],[Growth Percentage]])^(Table2[[#Headers],[2035]]-YEAR(TODAY()))</f>
        <v>133202915.90665993</v>
      </c>
      <c r="L5" s="5">
        <f ca="1">SUMIF('Database '!$A$11:$A$22,A5,'Database '!$G$11:$G$22)*(1+Table2[[#This Row],[Growth Percentage]])^(Table2[[#Headers],[2036]]-YEAR(TODAY()))</f>
        <v>145191178.33825934</v>
      </c>
    </row>
    <row r="6" spans="1:12">
      <c r="A6" t="str">
        <f>'Database '!$A$11</f>
        <v>ADRO</v>
      </c>
      <c r="B6" s="11">
        <f>'Database '!F28</f>
        <v>9.5000000000000001E-2</v>
      </c>
      <c r="C6" s="5">
        <f ca="1">SUMIF('Database '!$A$11:$A$22,A6,'Database '!$G$11:$G$22)*(1+Table2[[#This Row],[Growth Percentage]])^(Table2[[#Headers],[2027]]-YEAR(TODAY()))</f>
        <v>67156703.461619988</v>
      </c>
      <c r="D6" s="5">
        <f ca="1">SUMIF('Database '!$A$11:$A$22,A6,'Database '!$G$11:$G$22)*(1+Table2[[#This Row],[Growth Percentage]])^(Table2[[#Headers],[2028]]-YEAR(TODAY()))</f>
        <v>73536590.290473893</v>
      </c>
      <c r="E6" s="5">
        <f ca="1">SUMIF('Database '!$A$11:$A$22,A6,'Database '!$G$11:$G$22)*(1+Table2[[#This Row],[Growth Percentage]])^(Table2[[#Headers],[2029]]-YEAR(TODAY()))</f>
        <v>80522566.368068919</v>
      </c>
      <c r="F6" s="5">
        <f ca="1">SUMIF('Database '!$A$11:$A$22,A6,'Database '!$G$11:$G$22)*(1+Table2[[#This Row],[Growth Percentage]])^(Table2[[#Headers],[2030]]-YEAR(TODAY()))</f>
        <v>88172210.173035458</v>
      </c>
      <c r="G6" s="5">
        <f ca="1">SUMIF('Database '!$A$11:$A$22,A6,'Database '!$G$11:$G$22)*(1+Table2[[#This Row],[Growth Percentage]])^(Table2[[#Headers],[2031]]-YEAR(TODAY()))</f>
        <v>96548570.139473826</v>
      </c>
      <c r="H6" s="5">
        <f ca="1">SUMIF('Database '!$A$11:$A$22,A6,'Database '!$G$11:$G$22)*(1+Table2[[#This Row],[Growth Percentage]])^(Table2[[#Headers],[2032]]-YEAR(TODAY()))</f>
        <v>105720684.30272385</v>
      </c>
      <c r="I6" s="5">
        <f ca="1">SUMIF('Database '!$A$11:$A$22,A6,'Database '!$G$11:$G$22)*(1+Table2[[#This Row],[Growth Percentage]])^(Table2[[#Headers],[2033]]-YEAR(TODAY()))</f>
        <v>115764149.31148261</v>
      </c>
      <c r="J6" s="5">
        <f ca="1">SUMIF('Database '!$A$11:$A$22,A6,'Database '!$G$11:$G$22)*(1+Table2[[#This Row],[Growth Percentage]])^(Table2[[#Headers],[2034]]-YEAR(TODAY()))</f>
        <v>126761743.49607347</v>
      </c>
      <c r="K6" s="5">
        <f ca="1">SUMIF('Database '!$A$11:$A$22,A6,'Database '!$G$11:$G$22)*(1+Table2[[#This Row],[Growth Percentage]])^(Table2[[#Headers],[2035]]-YEAR(TODAY()))</f>
        <v>138804109.12820044</v>
      </c>
      <c r="L6" s="5">
        <f ca="1">SUMIF('Database '!$A$11:$A$22,A6,'Database '!$G$11:$G$22)*(1+Table2[[#This Row],[Growth Percentage]])^(Table2[[#Headers],[2036]]-YEAR(TODAY()))</f>
        <v>151990499.49537951</v>
      </c>
    </row>
    <row r="7" spans="1:12">
      <c r="A7" t="str">
        <f>'Database '!$A$11</f>
        <v>ADRO</v>
      </c>
      <c r="B7" s="10">
        <f>'Database '!G28</f>
        <v>0.1</v>
      </c>
      <c r="C7" s="5">
        <f ca="1">SUMIF('Database '!$A$11:$A$22,A7,'Database '!$G$11:$G$22)*(1+Table2[[#This Row],[Growth Percentage]])^(Table2[[#Headers],[2027]]-YEAR(TODAY()))</f>
        <v>67463355.075599998</v>
      </c>
      <c r="D7" s="5">
        <f ca="1">SUMIF('Database '!$A$11:$A$22,A7,'Database '!$G$11:$G$22)*(1+Table2[[#This Row],[Growth Percentage]])^(Table2[[#Headers],[2028]]-YEAR(TODAY()))</f>
        <v>74209690.583160013</v>
      </c>
      <c r="E7" s="5">
        <f ca="1">SUMIF('Database '!$A$11:$A$22,A7,'Database '!$G$11:$G$22)*(1+Table2[[#This Row],[Growth Percentage]])^(Table2[[#Headers],[2029]]-YEAR(TODAY()))</f>
        <v>81630659.64147602</v>
      </c>
      <c r="F7" s="5">
        <f ca="1">SUMIF('Database '!$A$11:$A$22,A7,'Database '!$G$11:$G$22)*(1+Table2[[#This Row],[Growth Percentage]])^(Table2[[#Headers],[2030]]-YEAR(TODAY()))</f>
        <v>89793725.605623618</v>
      </c>
      <c r="G7" s="5">
        <f ca="1">SUMIF('Database '!$A$11:$A$22,A7,'Database '!$G$11:$G$22)*(1+Table2[[#This Row],[Growth Percentage]])^(Table2[[#Headers],[2031]]-YEAR(TODAY()))</f>
        <v>98773098.16618599</v>
      </c>
      <c r="H7" s="5">
        <f ca="1">SUMIF('Database '!$A$11:$A$22,A7,'Database '!$G$11:$G$22)*(1+Table2[[#This Row],[Growth Percentage]])^(Table2[[#Headers],[2032]]-YEAR(TODAY()))</f>
        <v>108650407.9828046</v>
      </c>
      <c r="I7" s="5">
        <f ca="1">SUMIF('Database '!$A$11:$A$22,A7,'Database '!$G$11:$G$22)*(1+Table2[[#This Row],[Growth Percentage]])^(Table2[[#Headers],[2033]]-YEAR(TODAY()))</f>
        <v>119515448.78108507</v>
      </c>
      <c r="J7" s="5">
        <f ca="1">SUMIF('Database '!$A$11:$A$22,A7,'Database '!$G$11:$G$22)*(1+Table2[[#This Row],[Growth Percentage]])^(Table2[[#Headers],[2034]]-YEAR(TODAY()))</f>
        <v>131466993.65919358</v>
      </c>
      <c r="K7" s="5">
        <f ca="1">SUMIF('Database '!$A$11:$A$22,A7,'Database '!$G$11:$G$22)*(1+Table2[[#This Row],[Growth Percentage]])^(Table2[[#Headers],[2035]]-YEAR(TODAY()))</f>
        <v>144613693.02511296</v>
      </c>
      <c r="L7" s="5">
        <f ca="1">SUMIF('Database '!$A$11:$A$22,A7,'Database '!$G$11:$G$22)*(1+Table2[[#This Row],[Growth Percentage]])^(Table2[[#Headers],[2036]]-YEAR(TODAY()))</f>
        <v>159075062.32762426</v>
      </c>
    </row>
    <row r="8" spans="1:12">
      <c r="A8" t="str">
        <f>'Database '!$A$11</f>
        <v>ADRO</v>
      </c>
      <c r="B8" s="10">
        <f>'Database '!H28</f>
        <v>0.11</v>
      </c>
      <c r="C8" s="5">
        <f ca="1">SUMIF('Database '!$A$11:$A$22,A8,'Database '!$G$11:$G$22)*(1+Table2[[#This Row],[Growth Percentage]])^(Table2[[#Headers],[2027]]-YEAR(TODAY()))</f>
        <v>68076658.303560004</v>
      </c>
      <c r="D8" s="5">
        <f ca="1">SUMIF('Database '!$A$11:$A$22,A8,'Database '!$G$11:$G$22)*(1+Table2[[#This Row],[Growth Percentage]])^(Table2[[#Headers],[2028]]-YEAR(TODAY()))</f>
        <v>75565090.716951609</v>
      </c>
      <c r="E8" s="5">
        <f ca="1">SUMIF('Database '!$A$11:$A$22,A8,'Database '!$G$11:$G$22)*(1+Table2[[#This Row],[Growth Percentage]])^(Table2[[#Headers],[2029]]-YEAR(TODAY()))</f>
        <v>83877250.695816293</v>
      </c>
      <c r="F8" s="5">
        <f ca="1">SUMIF('Database '!$A$11:$A$22,A8,'Database '!$G$11:$G$22)*(1+Table2[[#This Row],[Growth Percentage]])^(Table2[[#Headers],[2030]]-YEAR(TODAY()))</f>
        <v>93103748.272356093</v>
      </c>
      <c r="G8" s="5">
        <f ca="1">SUMIF('Database '!$A$11:$A$22,A8,'Database '!$G$11:$G$22)*(1+Table2[[#This Row],[Growth Percentage]])^(Table2[[#Headers],[2031]]-YEAR(TODAY()))</f>
        <v>103345160.58231527</v>
      </c>
      <c r="H8" s="5">
        <f ca="1">SUMIF('Database '!$A$11:$A$22,A8,'Database '!$G$11:$G$22)*(1+Table2[[#This Row],[Growth Percentage]])^(Table2[[#Headers],[2032]]-YEAR(TODAY()))</f>
        <v>114713128.24636994</v>
      </c>
      <c r="I8" s="5">
        <f ca="1">SUMIF('Database '!$A$11:$A$22,A8,'Database '!$G$11:$G$22)*(1+Table2[[#This Row],[Growth Percentage]])^(Table2[[#Headers],[2033]]-YEAR(TODAY()))</f>
        <v>127331572.35347064</v>
      </c>
      <c r="J8" s="5">
        <f ca="1">SUMIF('Database '!$A$11:$A$22,A8,'Database '!$G$11:$G$22)*(1+Table2[[#This Row],[Growth Percentage]])^(Table2[[#Headers],[2034]]-YEAR(TODAY()))</f>
        <v>141338045.31235245</v>
      </c>
      <c r="K8" s="5">
        <f ca="1">SUMIF('Database '!$A$11:$A$22,A8,'Database '!$G$11:$G$22)*(1+Table2[[#This Row],[Growth Percentage]])^(Table2[[#Headers],[2035]]-YEAR(TODAY()))</f>
        <v>156885230.29671124</v>
      </c>
      <c r="L8" s="5">
        <f ca="1">SUMIF('Database '!$A$11:$A$22,A8,'Database '!$G$11:$G$22)*(1+Table2[[#This Row],[Growth Percentage]])^(Table2[[#Headers],[2036]]-YEAR(TODAY()))</f>
        <v>174142605.6293495</v>
      </c>
    </row>
    <row r="9" spans="1:12">
      <c r="A9" t="str">
        <f>'Database '!$A$11</f>
        <v>ADRO</v>
      </c>
      <c r="B9" s="10">
        <f>'Database '!I28</f>
        <v>0.12</v>
      </c>
      <c r="C9" s="5">
        <f ca="1">SUMIF('Database '!$A$11:$A$22,A9,'Database '!$G$11:$G$22)*(1+Table2[[#This Row],[Growth Percentage]])^(Table2[[#Headers],[2027]]-YEAR(TODAY()))</f>
        <v>68689961.531520009</v>
      </c>
      <c r="D9" s="5">
        <f ca="1">SUMIF('Database '!$A$11:$A$22,A9,'Database '!$G$11:$G$22)*(1+Table2[[#This Row],[Growth Percentage]])^(Table2[[#Headers],[2028]]-YEAR(TODAY()))</f>
        <v>76932756.915302411</v>
      </c>
      <c r="E9" s="5">
        <f ca="1">SUMIF('Database '!$A$11:$A$22,A9,'Database '!$G$11:$G$22)*(1+Table2[[#This Row],[Growth Percentage]])^(Table2[[#Headers],[2029]]-YEAR(TODAY()))</f>
        <v>86164687.745138705</v>
      </c>
      <c r="F9" s="5">
        <f ca="1">SUMIF('Database '!$A$11:$A$22,A9,'Database '!$G$11:$G$22)*(1+Table2[[#This Row],[Growth Percentage]])^(Table2[[#Headers],[2030]]-YEAR(TODAY()))</f>
        <v>96504450.27455534</v>
      </c>
      <c r="G9" s="5">
        <f ca="1">SUMIF('Database '!$A$11:$A$22,A9,'Database '!$G$11:$G$22)*(1+Table2[[#This Row],[Growth Percentage]])^(Table2[[#Headers],[2031]]-YEAR(TODAY()))</f>
        <v>108084984.307502</v>
      </c>
      <c r="H9" s="5">
        <f ca="1">SUMIF('Database '!$A$11:$A$22,A9,'Database '!$G$11:$G$22)*(1+Table2[[#This Row],[Growth Percentage]])^(Table2[[#Headers],[2032]]-YEAR(TODAY()))</f>
        <v>121055182.42440225</v>
      </c>
      <c r="I9" s="5">
        <f ca="1">SUMIF('Database '!$A$11:$A$22,A9,'Database '!$G$11:$G$22)*(1+Table2[[#This Row],[Growth Percentage]])^(Table2[[#Headers],[2033]]-YEAR(TODAY()))</f>
        <v>135581804.31533054</v>
      </c>
      <c r="J9" s="5">
        <f ca="1">SUMIF('Database '!$A$11:$A$22,A9,'Database '!$G$11:$G$22)*(1+Table2[[#This Row],[Growth Percentage]])^(Table2[[#Headers],[2034]]-YEAR(TODAY()))</f>
        <v>151851620.83317021</v>
      </c>
      <c r="K9" s="5">
        <f ca="1">SUMIF('Database '!$A$11:$A$22,A9,'Database '!$G$11:$G$22)*(1+Table2[[#This Row],[Growth Percentage]])^(Table2[[#Headers],[2035]]-YEAR(TODAY()))</f>
        <v>170073815.33315063</v>
      </c>
      <c r="L9" s="5">
        <f ca="1">SUMIF('Database '!$A$11:$A$22,A9,'Database '!$G$11:$G$22)*(1+Table2[[#This Row],[Growth Percentage]])^(Table2[[#Headers],[2036]]-YEAR(TODAY()))</f>
        <v>190482673.17312872</v>
      </c>
    </row>
    <row r="10" spans="1:12">
      <c r="A10" t="str">
        <f>'Database '!$A$12</f>
        <v>ASII</v>
      </c>
      <c r="B10" s="12">
        <f>'Database '!B28</f>
        <v>0.06</v>
      </c>
      <c r="C10" s="5">
        <f ca="1">SUMIF('Database '!$A$11:$A$22,A10,'Database '!$G$11:$G$22)*(1+Table2[[#This Row],[Growth Percentage]])^(Table2[[#Headers],[2027]]-YEAR(TODAY()))</f>
        <v>97053221.93934001</v>
      </c>
      <c r="D10" s="5">
        <f ca="1">SUMIF('Database '!$A$11:$A$22,A10,'Database '!$G$11:$G$22)*(1+Table2[[#This Row],[Growth Percentage]])^(Table2[[#Headers],[2028]]-YEAR(TODAY()))</f>
        <v>102876415.25570041</v>
      </c>
      <c r="E10" s="5">
        <f ca="1">SUMIF('Database '!$A$11:$A$22,A10,'Database '!$G$11:$G$22)*(1+Table2[[#This Row],[Growth Percentage]])^(Table2[[#Headers],[2029]]-YEAR(TODAY()))</f>
        <v>109049000.17104246</v>
      </c>
      <c r="F10" s="5">
        <f ca="1">SUMIF('Database '!$A$11:$A$22,A10,'Database '!$G$11:$G$22)*(1+Table2[[#This Row],[Growth Percentage]])^(Table2[[#Headers],[2030]]-YEAR(TODAY()))</f>
        <v>115591940.18130501</v>
      </c>
      <c r="G10" s="5">
        <f ca="1">SUMIF('Database '!$A$11:$A$22,A10,'Database '!$G$11:$G$22)*(1+Table2[[#This Row],[Growth Percentage]])^(Table2[[#Headers],[2031]]-YEAR(TODAY()))</f>
        <v>122527456.59218332</v>
      </c>
      <c r="H10" s="5">
        <f ca="1">SUMIF('Database '!$A$11:$A$22,A10,'Database '!$G$11:$G$22)*(1+Table2[[#This Row],[Growth Percentage]])^(Table2[[#Headers],[2032]]-YEAR(TODAY()))</f>
        <v>129879103.98771432</v>
      </c>
      <c r="I10" s="5">
        <f ca="1">SUMIF('Database '!$A$11:$A$22,A10,'Database '!$G$11:$G$22)*(1+Table2[[#This Row],[Growth Percentage]])^(Table2[[#Headers],[2033]]-YEAR(TODAY()))</f>
        <v>137671850.2269772</v>
      </c>
      <c r="J10" s="5">
        <f ca="1">SUMIF('Database '!$A$11:$A$22,A10,'Database '!$G$11:$G$22)*(1+Table2[[#This Row],[Growth Percentage]])^(Table2[[#Headers],[2034]]-YEAR(TODAY()))</f>
        <v>145932161.24059582</v>
      </c>
      <c r="K10" s="5">
        <f ca="1">SUMIF('Database '!$A$11:$A$22,A10,'Database '!$G$11:$G$22)*(1+Table2[[#This Row],[Growth Percentage]])^(Table2[[#Headers],[2035]]-YEAR(TODAY()))</f>
        <v>154688090.91503155</v>
      </c>
      <c r="L10" s="5">
        <f ca="1">SUMIF('Database '!$A$11:$A$22,A10,'Database '!$G$11:$G$22)*(1+Table2[[#This Row],[Growth Percentage]])^(Table2[[#Headers],[2036]]-YEAR(TODAY()))</f>
        <v>163969376.36993349</v>
      </c>
    </row>
    <row r="11" spans="1:12">
      <c r="A11" t="str">
        <f>'Database '!$A$12</f>
        <v>ASII</v>
      </c>
      <c r="B11" s="13">
        <f>'Database '!C28</f>
        <v>7.0000000000000007E-2</v>
      </c>
      <c r="C11" s="5">
        <f ca="1">SUMIF('Database '!$A$11:$A$22,A11,'Database '!$G$11:$G$22)*(1+Table2[[#This Row],[Growth Percentage]])^(Table2[[#Headers],[2027]]-YEAR(TODAY()))</f>
        <v>97968818.372730002</v>
      </c>
      <c r="D11" s="5">
        <f ca="1">SUMIF('Database '!$A$11:$A$22,A11,'Database '!$G$11:$G$22)*(1+Table2[[#This Row],[Growth Percentage]])^(Table2[[#Headers],[2028]]-YEAR(TODAY()))</f>
        <v>104826635.65882111</v>
      </c>
      <c r="E11" s="5">
        <f ca="1">SUMIF('Database '!$A$11:$A$22,A11,'Database '!$G$11:$G$22)*(1+Table2[[#This Row],[Growth Percentage]])^(Table2[[#Headers],[2029]]-YEAR(TODAY()))</f>
        <v>112164500.15493859</v>
      </c>
      <c r="F11" s="5">
        <f ca="1">SUMIF('Database '!$A$11:$A$22,A11,'Database '!$G$11:$G$22)*(1+Table2[[#This Row],[Growth Percentage]])^(Table2[[#Headers],[2030]]-YEAR(TODAY()))</f>
        <v>120016015.16578428</v>
      </c>
      <c r="G11" s="5">
        <f ca="1">SUMIF('Database '!$A$11:$A$22,A11,'Database '!$G$11:$G$22)*(1+Table2[[#This Row],[Growth Percentage]])^(Table2[[#Headers],[2031]]-YEAR(TODAY()))</f>
        <v>128417136.2273892</v>
      </c>
      <c r="H11" s="5">
        <f ca="1">SUMIF('Database '!$A$11:$A$22,A11,'Database '!$G$11:$G$22)*(1+Table2[[#This Row],[Growth Percentage]])^(Table2[[#Headers],[2032]]-YEAR(TODAY()))</f>
        <v>137406335.76330644</v>
      </c>
      <c r="I11" s="5">
        <f ca="1">SUMIF('Database '!$A$11:$A$22,A11,'Database '!$G$11:$G$22)*(1+Table2[[#This Row],[Growth Percentage]])^(Table2[[#Headers],[2033]]-YEAR(TODAY()))</f>
        <v>147024779.26673788</v>
      </c>
      <c r="J11" s="5">
        <f ca="1">SUMIF('Database '!$A$11:$A$22,A11,'Database '!$G$11:$G$22)*(1+Table2[[#This Row],[Growth Percentage]])^(Table2[[#Headers],[2034]]-YEAR(TODAY()))</f>
        <v>157316513.81540954</v>
      </c>
      <c r="K11" s="5">
        <f ca="1">SUMIF('Database '!$A$11:$A$22,A11,'Database '!$G$11:$G$22)*(1+Table2[[#This Row],[Growth Percentage]])^(Table2[[#Headers],[2035]]-YEAR(TODAY()))</f>
        <v>168328669.78248823</v>
      </c>
      <c r="L11" s="5">
        <f ca="1">SUMIF('Database '!$A$11:$A$22,A11,'Database '!$G$11:$G$22)*(1+Table2[[#This Row],[Growth Percentage]])^(Table2[[#Headers],[2036]]-YEAR(TODAY()))</f>
        <v>180111676.66726238</v>
      </c>
    </row>
    <row r="12" spans="1:12">
      <c r="A12" t="str">
        <f>'Database '!$A$12</f>
        <v>ASII</v>
      </c>
      <c r="B12" s="12">
        <f>'Database '!D28</f>
        <v>0.08</v>
      </c>
      <c r="C12" s="5">
        <f ca="1">SUMIF('Database '!$A$11:$A$22,A12,'Database '!$G$11:$G$22)*(1+Table2[[#This Row],[Growth Percentage]])^(Table2[[#Headers],[2027]]-YEAR(TODAY()))</f>
        <v>98884414.806120008</v>
      </c>
      <c r="D12" s="5">
        <f ca="1">SUMIF('Database '!$A$11:$A$22,A12,'Database '!$G$11:$G$22)*(1+Table2[[#This Row],[Growth Percentage]])^(Table2[[#Headers],[2028]]-YEAR(TODAY()))</f>
        <v>106795167.99060962</v>
      </c>
      <c r="E12" s="5">
        <f ca="1">SUMIF('Database '!$A$11:$A$22,A12,'Database '!$G$11:$G$22)*(1+Table2[[#This Row],[Growth Percentage]])^(Table2[[#Headers],[2029]]-YEAR(TODAY()))</f>
        <v>115338781.42985839</v>
      </c>
      <c r="F12" s="5">
        <f ca="1">SUMIF('Database '!$A$11:$A$22,A12,'Database '!$G$11:$G$22)*(1+Table2[[#This Row],[Growth Percentage]])^(Table2[[#Headers],[2030]]-YEAR(TODAY()))</f>
        <v>124565883.94424707</v>
      </c>
      <c r="G12" s="5">
        <f ca="1">SUMIF('Database '!$A$11:$A$22,A12,'Database '!$G$11:$G$22)*(1+Table2[[#This Row],[Growth Percentage]])^(Table2[[#Headers],[2031]]-YEAR(TODAY()))</f>
        <v>134531154.65978682</v>
      </c>
      <c r="H12" s="5">
        <f ca="1">SUMIF('Database '!$A$11:$A$22,A12,'Database '!$G$11:$G$22)*(1+Table2[[#This Row],[Growth Percentage]])^(Table2[[#Headers],[2032]]-YEAR(TODAY()))</f>
        <v>145293647.0325698</v>
      </c>
      <c r="I12" s="5">
        <f ca="1">SUMIF('Database '!$A$11:$A$22,A12,'Database '!$G$11:$G$22)*(1+Table2[[#This Row],[Growth Percentage]])^(Table2[[#Headers],[2033]]-YEAR(TODAY()))</f>
        <v>156917138.79517537</v>
      </c>
      <c r="J12" s="5">
        <f ca="1">SUMIF('Database '!$A$11:$A$22,A12,'Database '!$G$11:$G$22)*(1+Table2[[#This Row],[Growth Percentage]])^(Table2[[#Headers],[2034]]-YEAR(TODAY()))</f>
        <v>169470509.89878941</v>
      </c>
      <c r="K12" s="5">
        <f ca="1">SUMIF('Database '!$A$11:$A$22,A12,'Database '!$G$11:$G$22)*(1+Table2[[#This Row],[Growth Percentage]])^(Table2[[#Headers],[2035]]-YEAR(TODAY()))</f>
        <v>183028150.69069257</v>
      </c>
      <c r="L12" s="5">
        <f ca="1">SUMIF('Database '!$A$11:$A$22,A12,'Database '!$G$11:$G$22)*(1+Table2[[#This Row],[Growth Percentage]])^(Table2[[#Headers],[2036]]-YEAR(TODAY()))</f>
        <v>197670402.74594799</v>
      </c>
    </row>
    <row r="13" spans="1:12">
      <c r="A13" t="str">
        <f>'Database '!$A$12</f>
        <v>ASII</v>
      </c>
      <c r="B13" s="13">
        <f>'Database '!E28</f>
        <v>0.09</v>
      </c>
      <c r="C13" s="5">
        <f ca="1">SUMIF('Database '!$A$11:$A$22,A13,'Database '!$G$11:$G$22)*(1+Table2[[#This Row],[Growth Percentage]])^(Table2[[#Headers],[2027]]-YEAR(TODAY()))</f>
        <v>99800011.239510015</v>
      </c>
      <c r="D13" s="5">
        <f ca="1">SUMIF('Database '!$A$11:$A$22,A13,'Database '!$G$11:$G$22)*(1+Table2[[#This Row],[Growth Percentage]])^(Table2[[#Headers],[2028]]-YEAR(TODAY()))</f>
        <v>108782012.25106591</v>
      </c>
      <c r="E13" s="5">
        <f ca="1">SUMIF('Database '!$A$11:$A$22,A13,'Database '!$G$11:$G$22)*(1+Table2[[#This Row],[Growth Percentage]])^(Table2[[#Headers],[2029]]-YEAR(TODAY()))</f>
        <v>118572393.35366185</v>
      </c>
      <c r="F13" s="5">
        <f ca="1">SUMIF('Database '!$A$11:$A$22,A13,'Database '!$G$11:$G$22)*(1+Table2[[#This Row],[Growth Percentage]])^(Table2[[#Headers],[2030]]-YEAR(TODAY()))</f>
        <v>129243908.75549142</v>
      </c>
      <c r="G13" s="5">
        <f ca="1">SUMIF('Database '!$A$11:$A$22,A13,'Database '!$G$11:$G$22)*(1+Table2[[#This Row],[Growth Percentage]])^(Table2[[#Headers],[2031]]-YEAR(TODAY()))</f>
        <v>140875860.54348567</v>
      </c>
      <c r="H13" s="5">
        <f ca="1">SUMIF('Database '!$A$11:$A$22,A13,'Database '!$G$11:$G$22)*(1+Table2[[#This Row],[Growth Percentage]])^(Table2[[#Headers],[2032]]-YEAR(TODAY()))</f>
        <v>153554687.99239939</v>
      </c>
      <c r="I13" s="5">
        <f ca="1">SUMIF('Database '!$A$11:$A$22,A13,'Database '!$G$11:$G$22)*(1+Table2[[#This Row],[Growth Percentage]])^(Table2[[#Headers],[2033]]-YEAR(TODAY()))</f>
        <v>167374609.91171533</v>
      </c>
      <c r="J13" s="5">
        <f ca="1">SUMIF('Database '!$A$11:$A$22,A13,'Database '!$G$11:$G$22)*(1+Table2[[#This Row],[Growth Percentage]])^(Table2[[#Headers],[2034]]-YEAR(TODAY()))</f>
        <v>182438324.80376971</v>
      </c>
      <c r="K13" s="5">
        <f ca="1">SUMIF('Database '!$A$11:$A$22,A13,'Database '!$G$11:$G$22)*(1+Table2[[#This Row],[Growth Percentage]])^(Table2[[#Headers],[2035]]-YEAR(TODAY()))</f>
        <v>198857774.036109</v>
      </c>
      <c r="L13" s="5">
        <f ca="1">SUMIF('Database '!$A$11:$A$22,A13,'Database '!$G$11:$G$22)*(1+Table2[[#This Row],[Growth Percentage]])^(Table2[[#Headers],[2036]]-YEAR(TODAY()))</f>
        <v>216754973.69935885</v>
      </c>
    </row>
    <row r="14" spans="1:12">
      <c r="A14" t="str">
        <f>'Database '!$A$12</f>
        <v>ASII</v>
      </c>
      <c r="B14" s="12">
        <f>'Database '!F28</f>
        <v>9.5000000000000001E-2</v>
      </c>
      <c r="C14" s="5">
        <f ca="1">SUMIF('Database '!$A$11:$A$22,A14,'Database '!$G$11:$G$22)*(1+Table2[[#This Row],[Growth Percentage]])^(Table2[[#Headers],[2027]]-YEAR(TODAY()))</f>
        <v>100257809.456205</v>
      </c>
      <c r="D14" s="5">
        <f ca="1">SUMIF('Database '!$A$11:$A$22,A14,'Database '!$G$11:$G$22)*(1+Table2[[#This Row],[Growth Percentage]])^(Table2[[#Headers],[2028]]-YEAR(TODAY()))</f>
        <v>109782301.35454448</v>
      </c>
      <c r="E14" s="5">
        <f ca="1">SUMIF('Database '!$A$11:$A$22,A14,'Database '!$G$11:$G$22)*(1+Table2[[#This Row],[Growth Percentage]])^(Table2[[#Headers],[2029]]-YEAR(TODAY()))</f>
        <v>120211619.98322619</v>
      </c>
      <c r="F14" s="5">
        <f ca="1">SUMIF('Database '!$A$11:$A$22,A14,'Database '!$G$11:$G$22)*(1+Table2[[#This Row],[Growth Percentage]])^(Table2[[#Headers],[2030]]-YEAR(TODAY()))</f>
        <v>131631723.88163269</v>
      </c>
      <c r="G14" s="5">
        <f ca="1">SUMIF('Database '!$A$11:$A$22,A14,'Database '!$G$11:$G$22)*(1+Table2[[#This Row],[Growth Percentage]])^(Table2[[#Headers],[2031]]-YEAR(TODAY()))</f>
        <v>144136737.65038779</v>
      </c>
      <c r="H14" s="5">
        <f ca="1">SUMIF('Database '!$A$11:$A$22,A14,'Database '!$G$11:$G$22)*(1+Table2[[#This Row],[Growth Percentage]])^(Table2[[#Headers],[2032]]-YEAR(TODAY()))</f>
        <v>157829727.72717464</v>
      </c>
      <c r="I14" s="5">
        <f ca="1">SUMIF('Database '!$A$11:$A$22,A14,'Database '!$G$11:$G$22)*(1+Table2[[#This Row],[Growth Percentage]])^(Table2[[#Headers],[2033]]-YEAR(TODAY()))</f>
        <v>172823551.86125621</v>
      </c>
      <c r="J14" s="5">
        <f ca="1">SUMIF('Database '!$A$11:$A$22,A14,'Database '!$G$11:$G$22)*(1+Table2[[#This Row],[Growth Percentage]])^(Table2[[#Headers],[2034]]-YEAR(TODAY()))</f>
        <v>189241789.28807557</v>
      </c>
      <c r="K14" s="5">
        <f ca="1">SUMIF('Database '!$A$11:$A$22,A14,'Database '!$G$11:$G$22)*(1+Table2[[#This Row],[Growth Percentage]])^(Table2[[#Headers],[2035]]-YEAR(TODAY()))</f>
        <v>207219759.27044272</v>
      </c>
      <c r="L14" s="5">
        <f ca="1">SUMIF('Database '!$A$11:$A$22,A14,'Database '!$G$11:$G$22)*(1+Table2[[#This Row],[Growth Percentage]])^(Table2[[#Headers],[2036]]-YEAR(TODAY()))</f>
        <v>226905636.40113485</v>
      </c>
    </row>
    <row r="15" spans="1:12">
      <c r="A15" t="str">
        <f>'Database '!$A$12</f>
        <v>ASII</v>
      </c>
      <c r="B15" s="13">
        <f>'Database '!G28</f>
        <v>0.1</v>
      </c>
      <c r="C15" s="5">
        <f ca="1">SUMIF('Database '!$A$11:$A$22,A15,'Database '!$G$11:$G$22)*(1+Table2[[#This Row],[Growth Percentage]])^(Table2[[#Headers],[2027]]-YEAR(TODAY()))</f>
        <v>100715607.67290001</v>
      </c>
      <c r="D15" s="5">
        <f ca="1">SUMIF('Database '!$A$11:$A$22,A15,'Database '!$G$11:$G$22)*(1+Table2[[#This Row],[Growth Percentage]])^(Table2[[#Headers],[2028]]-YEAR(TODAY()))</f>
        <v>110787168.44019002</v>
      </c>
      <c r="E15" s="5">
        <f ca="1">SUMIF('Database '!$A$11:$A$22,A15,'Database '!$G$11:$G$22)*(1+Table2[[#This Row],[Growth Percentage]])^(Table2[[#Headers],[2029]]-YEAR(TODAY()))</f>
        <v>121865885.28420904</v>
      </c>
      <c r="F15" s="5">
        <f ca="1">SUMIF('Database '!$A$11:$A$22,A15,'Database '!$G$11:$G$22)*(1+Table2[[#This Row],[Growth Percentage]])^(Table2[[#Headers],[2030]]-YEAR(TODAY()))</f>
        <v>134052473.81262994</v>
      </c>
      <c r="G15" s="5">
        <f ca="1">SUMIF('Database '!$A$11:$A$22,A15,'Database '!$G$11:$G$22)*(1+Table2[[#This Row],[Growth Percentage]])^(Table2[[#Headers],[2031]]-YEAR(TODAY()))</f>
        <v>147457721.19389296</v>
      </c>
      <c r="H15" s="5">
        <f ca="1">SUMIF('Database '!$A$11:$A$22,A15,'Database '!$G$11:$G$22)*(1+Table2[[#This Row],[Growth Percentage]])^(Table2[[#Headers],[2032]]-YEAR(TODAY()))</f>
        <v>162203493.31328225</v>
      </c>
      <c r="I15" s="5">
        <f ca="1">SUMIF('Database '!$A$11:$A$22,A15,'Database '!$G$11:$G$22)*(1+Table2[[#This Row],[Growth Percentage]])^(Table2[[#Headers],[2033]]-YEAR(TODAY()))</f>
        <v>178423842.64461052</v>
      </c>
      <c r="J15" s="5">
        <f ca="1">SUMIF('Database '!$A$11:$A$22,A15,'Database '!$G$11:$G$22)*(1+Table2[[#This Row],[Growth Percentage]])^(Table2[[#Headers],[2034]]-YEAR(TODAY()))</f>
        <v>196266226.90907153</v>
      </c>
      <c r="K15" s="5">
        <f ca="1">SUMIF('Database '!$A$11:$A$22,A15,'Database '!$G$11:$G$22)*(1+Table2[[#This Row],[Growth Percentage]])^(Table2[[#Headers],[2035]]-YEAR(TODAY()))</f>
        <v>215892849.59997872</v>
      </c>
      <c r="L15" s="5">
        <f ca="1">SUMIF('Database '!$A$11:$A$22,A15,'Database '!$G$11:$G$22)*(1+Table2[[#This Row],[Growth Percentage]])^(Table2[[#Headers],[2036]]-YEAR(TODAY()))</f>
        <v>237482134.55997661</v>
      </c>
    </row>
    <row r="16" spans="1:12">
      <c r="A16" t="str">
        <f>'Database '!$A$12</f>
        <v>ASII</v>
      </c>
      <c r="B16" s="13">
        <f>'Database '!H28</f>
        <v>0.11</v>
      </c>
      <c r="C16" s="5">
        <f ca="1">SUMIF('Database '!$A$11:$A$22,A16,'Database '!$G$11:$G$22)*(1+Table2[[#This Row],[Growth Percentage]])^(Table2[[#Headers],[2027]]-YEAR(TODAY()))</f>
        <v>101631204.10629001</v>
      </c>
      <c r="D16" s="5">
        <f ca="1">SUMIF('Database '!$A$11:$A$22,A16,'Database '!$G$11:$G$22)*(1+Table2[[#This Row],[Growth Percentage]])^(Table2[[#Headers],[2028]]-YEAR(TODAY()))</f>
        <v>112810636.55798192</v>
      </c>
      <c r="E16" s="5">
        <f ca="1">SUMIF('Database '!$A$11:$A$22,A16,'Database '!$G$11:$G$22)*(1+Table2[[#This Row],[Growth Percentage]])^(Table2[[#Headers],[2029]]-YEAR(TODAY()))</f>
        <v>125219806.57935993</v>
      </c>
      <c r="F16" s="5">
        <f ca="1">SUMIF('Database '!$A$11:$A$22,A16,'Database '!$G$11:$G$22)*(1+Table2[[#This Row],[Growth Percentage]])^(Table2[[#Headers],[2030]]-YEAR(TODAY()))</f>
        <v>138993985.30308953</v>
      </c>
      <c r="G16" s="5">
        <f ca="1">SUMIF('Database '!$A$11:$A$22,A16,'Database '!$G$11:$G$22)*(1+Table2[[#This Row],[Growth Percentage]])^(Table2[[#Headers],[2031]]-YEAR(TODAY()))</f>
        <v>154283323.68642941</v>
      </c>
      <c r="H16" s="5">
        <f ca="1">SUMIF('Database '!$A$11:$A$22,A16,'Database '!$G$11:$G$22)*(1+Table2[[#This Row],[Growth Percentage]])^(Table2[[#Headers],[2032]]-YEAR(TODAY()))</f>
        <v>171254489.29193664</v>
      </c>
      <c r="I16" s="5">
        <f ca="1">SUMIF('Database '!$A$11:$A$22,A16,'Database '!$G$11:$G$22)*(1+Table2[[#This Row],[Growth Percentage]])^(Table2[[#Headers],[2033]]-YEAR(TODAY()))</f>
        <v>190092483.11404967</v>
      </c>
      <c r="J16" s="5">
        <f ca="1">SUMIF('Database '!$A$11:$A$22,A16,'Database '!$G$11:$G$22)*(1+Table2[[#This Row],[Growth Percentage]])^(Table2[[#Headers],[2034]]-YEAR(TODAY()))</f>
        <v>211002656.25659519</v>
      </c>
      <c r="K16" s="5">
        <f ca="1">SUMIF('Database '!$A$11:$A$22,A16,'Database '!$G$11:$G$22)*(1+Table2[[#This Row],[Growth Percentage]])^(Table2[[#Headers],[2035]]-YEAR(TODAY()))</f>
        <v>234212948.44482067</v>
      </c>
      <c r="L16" s="5">
        <f ca="1">SUMIF('Database '!$A$11:$A$22,A16,'Database '!$G$11:$G$22)*(1+Table2[[#This Row],[Growth Percentage]])^(Table2[[#Headers],[2036]]-YEAR(TODAY()))</f>
        <v>259976372.77375099</v>
      </c>
    </row>
    <row r="17" spans="1:12">
      <c r="A17" t="str">
        <f>'Database '!$A$12</f>
        <v>ASII</v>
      </c>
      <c r="B17" s="13">
        <f>'Database '!I28</f>
        <v>0.12</v>
      </c>
      <c r="C17" s="5">
        <f ca="1">SUMIF('Database '!$A$11:$A$22,A17,'Database '!$G$11:$G$22)*(1+Table2[[#This Row],[Growth Percentage]])^(Table2[[#Headers],[2027]]-YEAR(TODAY()))</f>
        <v>102546800.53968</v>
      </c>
      <c r="D17" s="5">
        <f ca="1">SUMIF('Database '!$A$11:$A$22,A17,'Database '!$G$11:$G$22)*(1+Table2[[#This Row],[Growth Percentage]])^(Table2[[#Headers],[2028]]-YEAR(TODAY()))</f>
        <v>114852416.60444161</v>
      </c>
      <c r="E17" s="5">
        <f ca="1">SUMIF('Database '!$A$11:$A$22,A17,'Database '!$G$11:$G$22)*(1+Table2[[#This Row],[Growth Percentage]])^(Table2[[#Headers],[2029]]-YEAR(TODAY()))</f>
        <v>128634706.59697463</v>
      </c>
      <c r="F17" s="5">
        <f ca="1">SUMIF('Database '!$A$11:$A$22,A17,'Database '!$G$11:$G$22)*(1+Table2[[#This Row],[Growth Percentage]])^(Table2[[#Headers],[2030]]-YEAR(TODAY()))</f>
        <v>144070871.38861158</v>
      </c>
      <c r="G17" s="5">
        <f ca="1">SUMIF('Database '!$A$11:$A$22,A17,'Database '!$G$11:$G$22)*(1+Table2[[#This Row],[Growth Percentage]])^(Table2[[#Headers],[2031]]-YEAR(TODAY()))</f>
        <v>161359375.95524499</v>
      </c>
      <c r="H17" s="5">
        <f ca="1">SUMIF('Database '!$A$11:$A$22,A17,'Database '!$G$11:$G$22)*(1+Table2[[#This Row],[Growth Percentage]])^(Table2[[#Headers],[2032]]-YEAR(TODAY()))</f>
        <v>180722501.06987441</v>
      </c>
      <c r="I17" s="5">
        <f ca="1">SUMIF('Database '!$A$11:$A$22,A17,'Database '!$G$11:$G$22)*(1+Table2[[#This Row],[Growth Percentage]])^(Table2[[#Headers],[2033]]-YEAR(TODAY()))</f>
        <v>202409201.19825932</v>
      </c>
      <c r="J17" s="5">
        <f ca="1">SUMIF('Database '!$A$11:$A$22,A17,'Database '!$G$11:$G$22)*(1+Table2[[#This Row],[Growth Percentage]])^(Table2[[#Headers],[2034]]-YEAR(TODAY()))</f>
        <v>226698305.34205046</v>
      </c>
      <c r="K17" s="5">
        <f ca="1">SUMIF('Database '!$A$11:$A$22,A17,'Database '!$G$11:$G$22)*(1+Table2[[#This Row],[Growth Percentage]])^(Table2[[#Headers],[2035]]-YEAR(TODAY()))</f>
        <v>253902101.98309654</v>
      </c>
      <c r="L17" s="5">
        <f ca="1">SUMIF('Database '!$A$11:$A$22,A17,'Database '!$G$11:$G$22)*(1+Table2[[#This Row],[Growth Percentage]])^(Table2[[#Headers],[2036]]-YEAR(TODAY()))</f>
        <v>284370354.22106814</v>
      </c>
    </row>
    <row r="18" spans="1:12">
      <c r="A18" t="str">
        <f>'Database '!$A$13</f>
        <v>BBCA</v>
      </c>
      <c r="B18" s="11">
        <f>'Database '!B28</f>
        <v>0.06</v>
      </c>
      <c r="C18" s="5">
        <f ca="1">SUMIF('Database '!$A$11:$A$22,A18,'Database '!$G$11:$G$22)*(1+Table2[[#This Row],[Growth Percentage]])^(Table2[[#Headers],[2027]]-YEAR(TODAY()))</f>
        <v>133031193.18582003</v>
      </c>
      <c r="D18" s="5">
        <f ca="1">SUMIF('Database '!$A$11:$A$22,A18,'Database '!$G$11:$G$22)*(1+Table2[[#This Row],[Growth Percentage]])^(Table2[[#Headers],[2028]]-YEAR(TODAY()))</f>
        <v>141013064.77696922</v>
      </c>
      <c r="E18" s="5">
        <f ca="1">SUMIF('Database '!$A$11:$A$22,A18,'Database '!$G$11:$G$22)*(1+Table2[[#This Row],[Growth Percentage]])^(Table2[[#Headers],[2029]]-YEAR(TODAY()))</f>
        <v>149473848.66358742</v>
      </c>
      <c r="F18" s="5">
        <f ca="1">SUMIF('Database '!$A$11:$A$22,A18,'Database '!$G$11:$G$22)*(1+Table2[[#This Row],[Growth Percentage]])^(Table2[[#Headers],[2030]]-YEAR(TODAY()))</f>
        <v>158442279.58340266</v>
      </c>
      <c r="G18" s="5">
        <f ca="1">SUMIF('Database '!$A$11:$A$22,A18,'Database '!$G$11:$G$22)*(1+Table2[[#This Row],[Growth Percentage]])^(Table2[[#Headers],[2031]]-YEAR(TODAY()))</f>
        <v>167948816.35840684</v>
      </c>
      <c r="H18" s="5">
        <f ca="1">SUMIF('Database '!$A$11:$A$22,A18,'Database '!$G$11:$G$22)*(1+Table2[[#This Row],[Growth Percentage]])^(Table2[[#Headers],[2032]]-YEAR(TODAY()))</f>
        <v>178025745.33991125</v>
      </c>
      <c r="I18" s="5">
        <f ca="1">SUMIF('Database '!$A$11:$A$22,A18,'Database '!$G$11:$G$22)*(1+Table2[[#This Row],[Growth Percentage]])^(Table2[[#Headers],[2033]]-YEAR(TODAY()))</f>
        <v>188707290.06030595</v>
      </c>
      <c r="J18" s="5">
        <f ca="1">SUMIF('Database '!$A$11:$A$22,A18,'Database '!$G$11:$G$22)*(1+Table2[[#This Row],[Growth Percentage]])^(Table2[[#Headers],[2034]]-YEAR(TODAY()))</f>
        <v>200029727.46392429</v>
      </c>
      <c r="K18" s="5">
        <f ca="1">SUMIF('Database '!$A$11:$A$22,A18,'Database '!$G$11:$G$22)*(1+Table2[[#This Row],[Growth Percentage]])^(Table2[[#Headers],[2035]]-YEAR(TODAY()))</f>
        <v>212031511.11175975</v>
      </c>
      <c r="L18" s="5">
        <f ca="1">SUMIF('Database '!$A$11:$A$22,A18,'Database '!$G$11:$G$22)*(1+Table2[[#This Row],[Growth Percentage]])^(Table2[[#Headers],[2036]]-YEAR(TODAY()))</f>
        <v>224753401.77846536</v>
      </c>
    </row>
    <row r="19" spans="1:12">
      <c r="A19" t="str">
        <f>'Database '!$A$13</f>
        <v>BBCA</v>
      </c>
      <c r="B19" s="10">
        <f>'Database '!C28</f>
        <v>7.0000000000000007E-2</v>
      </c>
      <c r="C19" s="5">
        <f ca="1">SUMIF('Database '!$A$11:$A$22,A19,'Database '!$G$11:$G$22)*(1+Table2[[#This Row],[Growth Percentage]])^(Table2[[#Headers],[2027]]-YEAR(TODAY()))</f>
        <v>134286204.44229004</v>
      </c>
      <c r="D19" s="5">
        <f ca="1">SUMIF('Database '!$A$11:$A$22,A19,'Database '!$G$11:$G$22)*(1+Table2[[#This Row],[Growth Percentage]])^(Table2[[#Headers],[2028]]-YEAR(TODAY()))</f>
        <v>143686238.75325033</v>
      </c>
      <c r="E19" s="5">
        <f ca="1">SUMIF('Database '!$A$11:$A$22,A19,'Database '!$G$11:$G$22)*(1+Table2[[#This Row],[Growth Percentage]])^(Table2[[#Headers],[2029]]-YEAR(TODAY()))</f>
        <v>153744275.46597785</v>
      </c>
      <c r="F19" s="5">
        <f ca="1">SUMIF('Database '!$A$11:$A$22,A19,'Database '!$G$11:$G$22)*(1+Table2[[#This Row],[Growth Percentage]])^(Table2[[#Headers],[2030]]-YEAR(TODAY()))</f>
        <v>164506374.74859628</v>
      </c>
      <c r="G19" s="5">
        <f ca="1">SUMIF('Database '!$A$11:$A$22,A19,'Database '!$G$11:$G$22)*(1+Table2[[#This Row],[Growth Percentage]])^(Table2[[#Headers],[2031]]-YEAR(TODAY()))</f>
        <v>176021820.98099804</v>
      </c>
      <c r="H19" s="5">
        <f ca="1">SUMIF('Database '!$A$11:$A$22,A19,'Database '!$G$11:$G$22)*(1+Table2[[#This Row],[Growth Percentage]])^(Table2[[#Headers],[2032]]-YEAR(TODAY()))</f>
        <v>188343348.4496679</v>
      </c>
      <c r="I19" s="5">
        <f ca="1">SUMIF('Database '!$A$11:$A$22,A19,'Database '!$G$11:$G$22)*(1+Table2[[#This Row],[Growth Percentage]])^(Table2[[#Headers],[2033]]-YEAR(TODAY()))</f>
        <v>201527382.84114465</v>
      </c>
      <c r="J19" s="5">
        <f ca="1">SUMIF('Database '!$A$11:$A$22,A19,'Database '!$G$11:$G$22)*(1+Table2[[#This Row],[Growth Percentage]])^(Table2[[#Headers],[2034]]-YEAR(TODAY()))</f>
        <v>215634299.64002478</v>
      </c>
      <c r="K19" s="5">
        <f ca="1">SUMIF('Database '!$A$11:$A$22,A19,'Database '!$G$11:$G$22)*(1+Table2[[#This Row],[Growth Percentage]])^(Table2[[#Headers],[2035]]-YEAR(TODAY()))</f>
        <v>230728700.61482656</v>
      </c>
      <c r="L19" s="5">
        <f ca="1">SUMIF('Database '!$A$11:$A$22,A19,'Database '!$G$11:$G$22)*(1+Table2[[#This Row],[Growth Percentage]])^(Table2[[#Headers],[2036]]-YEAR(TODAY()))</f>
        <v>246879709.65786439</v>
      </c>
    </row>
    <row r="20" spans="1:12">
      <c r="A20" t="str">
        <f>'Database '!$A$13</f>
        <v>BBCA</v>
      </c>
      <c r="B20" s="11">
        <f>'Database '!D28</f>
        <v>0.08</v>
      </c>
      <c r="C20" s="5">
        <f ca="1">SUMIF('Database '!$A$11:$A$22,A20,'Database '!$G$11:$G$22)*(1+Table2[[#This Row],[Growth Percentage]])^(Table2[[#Headers],[2027]]-YEAR(TODAY()))</f>
        <v>135541215.69876003</v>
      </c>
      <c r="D20" s="5">
        <f ca="1">SUMIF('Database '!$A$11:$A$22,A20,'Database '!$G$11:$G$22)*(1+Table2[[#This Row],[Growth Percentage]])^(Table2[[#Headers],[2028]]-YEAR(TODAY()))</f>
        <v>146384512.95466083</v>
      </c>
      <c r="E20" s="5">
        <f ca="1">SUMIF('Database '!$A$11:$A$22,A20,'Database '!$G$11:$G$22)*(1+Table2[[#This Row],[Growth Percentage]])^(Table2[[#Headers],[2029]]-YEAR(TODAY()))</f>
        <v>158095273.9910337</v>
      </c>
      <c r="F20" s="5">
        <f ca="1">SUMIF('Database '!$A$11:$A$22,A20,'Database '!$G$11:$G$22)*(1+Table2[[#This Row],[Growth Percentage]])^(Table2[[#Headers],[2030]]-YEAR(TODAY()))</f>
        <v>170742895.91031641</v>
      </c>
      <c r="G20" s="5">
        <f ca="1">SUMIF('Database '!$A$11:$A$22,A20,'Database '!$G$11:$G$22)*(1+Table2[[#This Row],[Growth Percentage]])^(Table2[[#Headers],[2031]]-YEAR(TODAY()))</f>
        <v>184402327.58314171</v>
      </c>
      <c r="H20" s="5">
        <f ca="1">SUMIF('Database '!$A$11:$A$22,A20,'Database '!$G$11:$G$22)*(1+Table2[[#This Row],[Growth Percentage]])^(Table2[[#Headers],[2032]]-YEAR(TODAY()))</f>
        <v>199154513.7897931</v>
      </c>
      <c r="I20" s="5">
        <f ca="1">SUMIF('Database '!$A$11:$A$22,A20,'Database '!$G$11:$G$22)*(1+Table2[[#This Row],[Growth Percentage]])^(Table2[[#Headers],[2033]]-YEAR(TODAY()))</f>
        <v>215086874.89297655</v>
      </c>
      <c r="J20" s="5">
        <f ca="1">SUMIF('Database '!$A$11:$A$22,A20,'Database '!$G$11:$G$22)*(1+Table2[[#This Row],[Growth Percentage]])^(Table2[[#Headers],[2034]]-YEAR(TODAY()))</f>
        <v>232293824.88441467</v>
      </c>
      <c r="K20" s="5">
        <f ca="1">SUMIF('Database '!$A$11:$A$22,A20,'Database '!$G$11:$G$22)*(1+Table2[[#This Row],[Growth Percentage]])^(Table2[[#Headers],[2035]]-YEAR(TODAY()))</f>
        <v>250877330.87516788</v>
      </c>
      <c r="L20" s="5">
        <f ca="1">SUMIF('Database '!$A$11:$A$22,A20,'Database '!$G$11:$G$22)*(1+Table2[[#This Row],[Growth Percentage]])^(Table2[[#Headers],[2036]]-YEAR(TODAY()))</f>
        <v>270947517.34518129</v>
      </c>
    </row>
    <row r="21" spans="1:12">
      <c r="A21" t="str">
        <f>'Database '!$A$13</f>
        <v>BBCA</v>
      </c>
      <c r="B21" s="10">
        <f>'Database '!E28</f>
        <v>0.09</v>
      </c>
      <c r="C21" s="5">
        <f ca="1">SUMIF('Database '!$A$11:$A$22,A21,'Database '!$G$11:$G$22)*(1+Table2[[#This Row],[Growth Percentage]])^(Table2[[#Headers],[2027]]-YEAR(TODAY()))</f>
        <v>136796226.95523003</v>
      </c>
      <c r="D21" s="5">
        <f ca="1">SUMIF('Database '!$A$11:$A$22,A21,'Database '!$G$11:$G$22)*(1+Table2[[#This Row],[Growth Percentage]])^(Table2[[#Headers],[2028]]-YEAR(TODAY()))</f>
        <v>149107887.38120073</v>
      </c>
      <c r="E21" s="5">
        <f ca="1">SUMIF('Database '!$A$11:$A$22,A21,'Database '!$G$11:$G$22)*(1+Table2[[#This Row],[Growth Percentage]])^(Table2[[#Headers],[2029]]-YEAR(TODAY()))</f>
        <v>162527597.24550882</v>
      </c>
      <c r="F21" s="5">
        <f ca="1">SUMIF('Database '!$A$11:$A$22,A21,'Database '!$G$11:$G$22)*(1+Table2[[#This Row],[Growth Percentage]])^(Table2[[#Headers],[2030]]-YEAR(TODAY()))</f>
        <v>177155080.99760461</v>
      </c>
      <c r="G21" s="5">
        <f ca="1">SUMIF('Database '!$A$11:$A$22,A21,'Database '!$G$11:$G$22)*(1+Table2[[#This Row],[Growth Percentage]])^(Table2[[#Headers],[2031]]-YEAR(TODAY()))</f>
        <v>193099038.28738904</v>
      </c>
      <c r="H21" s="5">
        <f ca="1">SUMIF('Database '!$A$11:$A$22,A21,'Database '!$G$11:$G$22)*(1+Table2[[#This Row],[Growth Percentage]])^(Table2[[#Headers],[2032]]-YEAR(TODAY()))</f>
        <v>210477951.73325408</v>
      </c>
      <c r="I21" s="5">
        <f ca="1">SUMIF('Database '!$A$11:$A$22,A21,'Database '!$G$11:$G$22)*(1+Table2[[#This Row],[Growth Percentage]])^(Table2[[#Headers],[2033]]-YEAR(TODAY()))</f>
        <v>229420967.38924694</v>
      </c>
      <c r="J21" s="5">
        <f ca="1">SUMIF('Database '!$A$11:$A$22,A21,'Database '!$G$11:$G$22)*(1+Table2[[#This Row],[Growth Percentage]])^(Table2[[#Headers],[2034]]-YEAR(TODAY()))</f>
        <v>250068854.45427918</v>
      </c>
      <c r="K21" s="5">
        <f ca="1">SUMIF('Database '!$A$11:$A$22,A21,'Database '!$G$11:$G$22)*(1+Table2[[#This Row],[Growth Percentage]])^(Table2[[#Headers],[2035]]-YEAR(TODAY()))</f>
        <v>272575051.35516435</v>
      </c>
      <c r="L21" s="5">
        <f ca="1">SUMIF('Database '!$A$11:$A$22,A21,'Database '!$G$11:$G$22)*(1+Table2[[#This Row],[Growth Percentage]])^(Table2[[#Headers],[2036]]-YEAR(TODAY()))</f>
        <v>297106805.97712916</v>
      </c>
    </row>
    <row r="22" spans="1:12">
      <c r="A22" t="str">
        <f>'Database '!$A$13</f>
        <v>BBCA</v>
      </c>
      <c r="B22" s="11">
        <f>'Database '!F28</f>
        <v>9.5000000000000001E-2</v>
      </c>
      <c r="C22" s="5">
        <f ca="1">SUMIF('Database '!$A$11:$A$22,A22,'Database '!$G$11:$G$22)*(1+Table2[[#This Row],[Growth Percentage]])^(Table2[[#Headers],[2027]]-YEAR(TODAY()))</f>
        <v>137423732.58346501</v>
      </c>
      <c r="D22" s="5">
        <f ca="1">SUMIF('Database '!$A$11:$A$22,A22,'Database '!$G$11:$G$22)*(1+Table2[[#This Row],[Growth Percentage]])^(Table2[[#Headers],[2028]]-YEAR(TODAY()))</f>
        <v>150478987.17889419</v>
      </c>
      <c r="E22" s="5">
        <f ca="1">SUMIF('Database '!$A$11:$A$22,A22,'Database '!$G$11:$G$22)*(1+Table2[[#This Row],[Growth Percentage]])^(Table2[[#Headers],[2029]]-YEAR(TODAY()))</f>
        <v>164774490.96088913</v>
      </c>
      <c r="F22" s="5">
        <f ca="1">SUMIF('Database '!$A$11:$A$22,A22,'Database '!$G$11:$G$22)*(1+Table2[[#This Row],[Growth Percentage]])^(Table2[[#Headers],[2030]]-YEAR(TODAY()))</f>
        <v>180428067.6021736</v>
      </c>
      <c r="G22" s="5">
        <f ca="1">SUMIF('Database '!$A$11:$A$22,A22,'Database '!$G$11:$G$22)*(1+Table2[[#This Row],[Growth Percentage]])^(Table2[[#Headers],[2031]]-YEAR(TODAY()))</f>
        <v>197568734.02438009</v>
      </c>
      <c r="H22" s="5">
        <f ca="1">SUMIF('Database '!$A$11:$A$22,A22,'Database '!$G$11:$G$22)*(1+Table2[[#This Row],[Growth Percentage]])^(Table2[[#Headers],[2032]]-YEAR(TODAY()))</f>
        <v>216337763.75669622</v>
      </c>
      <c r="I22" s="5">
        <f ca="1">SUMIF('Database '!$A$11:$A$22,A22,'Database '!$G$11:$G$22)*(1+Table2[[#This Row],[Growth Percentage]])^(Table2[[#Headers],[2033]]-YEAR(TODAY()))</f>
        <v>236889851.31358233</v>
      </c>
      <c r="J22" s="5">
        <f ca="1">SUMIF('Database '!$A$11:$A$22,A22,'Database '!$G$11:$G$22)*(1+Table2[[#This Row],[Growth Percentage]])^(Table2[[#Headers],[2034]]-YEAR(TODAY()))</f>
        <v>259394387.1883727</v>
      </c>
      <c r="K22" s="5">
        <f ca="1">SUMIF('Database '!$A$11:$A$22,A22,'Database '!$G$11:$G$22)*(1+Table2[[#This Row],[Growth Percentage]])^(Table2[[#Headers],[2035]]-YEAR(TODAY()))</f>
        <v>284036853.97126806</v>
      </c>
      <c r="L22" s="5">
        <f ca="1">SUMIF('Database '!$A$11:$A$22,A22,'Database '!$G$11:$G$22)*(1+Table2[[#This Row],[Growth Percentage]])^(Table2[[#Headers],[2036]]-YEAR(TODAY()))</f>
        <v>311020355.09853858</v>
      </c>
    </row>
    <row r="23" spans="1:12">
      <c r="A23" t="str">
        <f>'Database '!$A$13</f>
        <v>BBCA</v>
      </c>
      <c r="B23" s="10">
        <f>'Database '!G28</f>
        <v>0.1</v>
      </c>
      <c r="C23" s="5">
        <f ca="1">SUMIF('Database '!$A$11:$A$22,A23,'Database '!$G$11:$G$22)*(1+Table2[[#This Row],[Growth Percentage]])^(Table2[[#Headers],[2027]]-YEAR(TODAY()))</f>
        <v>138051238.21170002</v>
      </c>
      <c r="D23" s="5">
        <f ca="1">SUMIF('Database '!$A$11:$A$22,A23,'Database '!$G$11:$G$22)*(1+Table2[[#This Row],[Growth Percentage]])^(Table2[[#Headers],[2028]]-YEAR(TODAY()))</f>
        <v>151856362.03287005</v>
      </c>
      <c r="E23" s="5">
        <f ca="1">SUMIF('Database '!$A$11:$A$22,A23,'Database '!$G$11:$G$22)*(1+Table2[[#This Row],[Growth Percentage]])^(Table2[[#Headers],[2029]]-YEAR(TODAY()))</f>
        <v>167041998.23615706</v>
      </c>
      <c r="F23" s="5">
        <f ca="1">SUMIF('Database '!$A$11:$A$22,A23,'Database '!$G$11:$G$22)*(1+Table2[[#This Row],[Growth Percentage]])^(Table2[[#Headers],[2030]]-YEAR(TODAY()))</f>
        <v>183746198.05977276</v>
      </c>
      <c r="G23" s="5">
        <f ca="1">SUMIF('Database '!$A$11:$A$22,A23,'Database '!$G$11:$G$22)*(1+Table2[[#This Row],[Growth Percentage]])^(Table2[[#Headers],[2031]]-YEAR(TODAY()))</f>
        <v>202120817.86575007</v>
      </c>
      <c r="H23" s="5">
        <f ca="1">SUMIF('Database '!$A$11:$A$22,A23,'Database '!$G$11:$G$22)*(1+Table2[[#This Row],[Growth Percentage]])^(Table2[[#Headers],[2032]]-YEAR(TODAY()))</f>
        <v>222332899.65232509</v>
      </c>
      <c r="I23" s="5">
        <f ca="1">SUMIF('Database '!$A$11:$A$22,A23,'Database '!$G$11:$G$22)*(1+Table2[[#This Row],[Growth Percentage]])^(Table2[[#Headers],[2033]]-YEAR(TODAY()))</f>
        <v>244566189.61755764</v>
      </c>
      <c r="J23" s="5">
        <f ca="1">SUMIF('Database '!$A$11:$A$22,A23,'Database '!$G$11:$G$22)*(1+Table2[[#This Row],[Growth Percentage]])^(Table2[[#Headers],[2034]]-YEAR(TODAY()))</f>
        <v>269022808.5793134</v>
      </c>
      <c r="K23" s="5">
        <f ca="1">SUMIF('Database '!$A$11:$A$22,A23,'Database '!$G$11:$G$22)*(1+Table2[[#This Row],[Growth Percentage]])^(Table2[[#Headers],[2035]]-YEAR(TODAY()))</f>
        <v>295925089.43724477</v>
      </c>
      <c r="L23" s="5">
        <f ca="1">SUMIF('Database '!$A$11:$A$22,A23,'Database '!$G$11:$G$22)*(1+Table2[[#This Row],[Growth Percentage]])^(Table2[[#Headers],[2036]]-YEAR(TODAY()))</f>
        <v>325517598.38096929</v>
      </c>
    </row>
    <row r="24" spans="1:12">
      <c r="A24" t="str">
        <f>'Database '!$A$13</f>
        <v>BBCA</v>
      </c>
      <c r="B24" s="10">
        <f>'Database '!H28</f>
        <v>0.11</v>
      </c>
      <c r="C24" s="5">
        <f ca="1">SUMIF('Database '!$A$11:$A$22,A24,'Database '!$G$11:$G$22)*(1+Table2[[#This Row],[Growth Percentage]])^(Table2[[#Headers],[2027]]-YEAR(TODAY()))</f>
        <v>139306249.46817002</v>
      </c>
      <c r="D24" s="5">
        <f ca="1">SUMIF('Database '!$A$11:$A$22,A24,'Database '!$G$11:$G$22)*(1+Table2[[#This Row],[Growth Percentage]])^(Table2[[#Headers],[2028]]-YEAR(TODAY()))</f>
        <v>154629936.90966874</v>
      </c>
      <c r="E24" s="5">
        <f ca="1">SUMIF('Database '!$A$11:$A$22,A24,'Database '!$G$11:$G$22)*(1+Table2[[#This Row],[Growth Percentage]])^(Table2[[#Headers],[2029]]-YEAR(TODAY()))</f>
        <v>171639229.96973231</v>
      </c>
      <c r="F24" s="5">
        <f ca="1">SUMIF('Database '!$A$11:$A$22,A24,'Database '!$G$11:$G$22)*(1+Table2[[#This Row],[Growth Percentage]])^(Table2[[#Headers],[2030]]-YEAR(TODAY()))</f>
        <v>190519545.26640287</v>
      </c>
      <c r="G24" s="5">
        <f ca="1">SUMIF('Database '!$A$11:$A$22,A24,'Database '!$G$11:$G$22)*(1+Table2[[#This Row],[Growth Percentage]])^(Table2[[#Headers],[2031]]-YEAR(TODAY()))</f>
        <v>211476695.24570721</v>
      </c>
      <c r="H24" s="5">
        <f ca="1">SUMIF('Database '!$A$11:$A$22,A24,'Database '!$G$11:$G$22)*(1+Table2[[#This Row],[Growth Percentage]])^(Table2[[#Headers],[2032]]-YEAR(TODAY()))</f>
        <v>234739131.72273502</v>
      </c>
      <c r="I24" s="5">
        <f ca="1">SUMIF('Database '!$A$11:$A$22,A24,'Database '!$G$11:$G$22)*(1+Table2[[#This Row],[Growth Percentage]])^(Table2[[#Headers],[2033]]-YEAR(TODAY()))</f>
        <v>260560436.21223587</v>
      </c>
      <c r="J24" s="5">
        <f ca="1">SUMIF('Database '!$A$11:$A$22,A24,'Database '!$G$11:$G$22)*(1+Table2[[#This Row],[Growth Percentage]])^(Table2[[#Headers],[2034]]-YEAR(TODAY()))</f>
        <v>289222084.19558185</v>
      </c>
      <c r="K24" s="5">
        <f ca="1">SUMIF('Database '!$A$11:$A$22,A24,'Database '!$G$11:$G$22)*(1+Table2[[#This Row],[Growth Percentage]])^(Table2[[#Headers],[2035]]-YEAR(TODAY()))</f>
        <v>321036513.45709592</v>
      </c>
      <c r="L24" s="5">
        <f ca="1">SUMIF('Database '!$A$11:$A$22,A24,'Database '!$G$11:$G$22)*(1+Table2[[#This Row],[Growth Percentage]])^(Table2[[#Headers],[2036]]-YEAR(TODAY()))</f>
        <v>356350529.9373765</v>
      </c>
    </row>
    <row r="25" spans="1:12">
      <c r="A25" t="str">
        <f>'Database '!$A$13</f>
        <v>BBCA</v>
      </c>
      <c r="B25" s="10">
        <f>'Database '!I28</f>
        <v>0.12</v>
      </c>
      <c r="C25" s="5">
        <f ca="1">SUMIF('Database '!$A$11:$A$22,A25,'Database '!$G$11:$G$22)*(1+Table2[[#This Row],[Growth Percentage]])^(Table2[[#Headers],[2027]]-YEAR(TODAY()))</f>
        <v>140561260.72464004</v>
      </c>
      <c r="D25" s="5">
        <f ca="1">SUMIF('Database '!$A$11:$A$22,A25,'Database '!$G$11:$G$22)*(1+Table2[[#This Row],[Growth Percentage]])^(Table2[[#Headers],[2028]]-YEAR(TODAY()))</f>
        <v>157428612.01159683</v>
      </c>
      <c r="E25" s="5">
        <f ca="1">SUMIF('Database '!$A$11:$A$22,A25,'Database '!$G$11:$G$22)*(1+Table2[[#This Row],[Growth Percentage]])^(Table2[[#Headers],[2029]]-YEAR(TODAY()))</f>
        <v>176320045.45298848</v>
      </c>
      <c r="F25" s="5">
        <f ca="1">SUMIF('Database '!$A$11:$A$22,A25,'Database '!$G$11:$G$22)*(1+Table2[[#This Row],[Growth Percentage]])^(Table2[[#Headers],[2030]]-YEAR(TODAY()))</f>
        <v>197478450.90734708</v>
      </c>
      <c r="G25" s="5">
        <f ca="1">SUMIF('Database '!$A$11:$A$22,A25,'Database '!$G$11:$G$22)*(1+Table2[[#This Row],[Growth Percentage]])^(Table2[[#Headers],[2031]]-YEAR(TODAY()))</f>
        <v>221175865.01622877</v>
      </c>
      <c r="H25" s="5">
        <f ca="1">SUMIF('Database '!$A$11:$A$22,A25,'Database '!$G$11:$G$22)*(1+Table2[[#This Row],[Growth Percentage]])^(Table2[[#Headers],[2032]]-YEAR(TODAY()))</f>
        <v>247716968.81817624</v>
      </c>
      <c r="I25" s="5">
        <f ca="1">SUMIF('Database '!$A$11:$A$22,A25,'Database '!$G$11:$G$22)*(1+Table2[[#This Row],[Growth Percentage]])^(Table2[[#Headers],[2033]]-YEAR(TODAY()))</f>
        <v>277443005.07635742</v>
      </c>
      <c r="J25" s="5">
        <f ca="1">SUMIF('Database '!$A$11:$A$22,A25,'Database '!$G$11:$G$22)*(1+Table2[[#This Row],[Growth Percentage]])^(Table2[[#Headers],[2034]]-YEAR(TODAY()))</f>
        <v>310736165.68552029</v>
      </c>
      <c r="K25" s="5">
        <f ca="1">SUMIF('Database '!$A$11:$A$22,A25,'Database '!$G$11:$G$22)*(1+Table2[[#This Row],[Growth Percentage]])^(Table2[[#Headers],[2035]]-YEAR(TODAY()))</f>
        <v>348024505.56778276</v>
      </c>
      <c r="L25" s="5">
        <f ca="1">SUMIF('Database '!$A$11:$A$22,A25,'Database '!$G$11:$G$22)*(1+Table2[[#This Row],[Growth Percentage]])^(Table2[[#Headers],[2036]]-YEAR(TODAY()))</f>
        <v>389787446.23591673</v>
      </c>
    </row>
    <row r="26" spans="1:12">
      <c r="A26" t="str">
        <f>'Database '!$A$14</f>
        <v>BBRI</v>
      </c>
      <c r="B26" s="11">
        <f>'Database '!B28</f>
        <v>0.06</v>
      </c>
      <c r="C26" s="5">
        <f ca="1">SUMIF('Database '!$A$11:$A$22,A26,'Database '!$G$11:$G$22)*(1+Table2[[#This Row],[Growth Percentage]])^(Table2[[#Headers],[2027]]-YEAR(TODAY()))</f>
        <v>116785029.93875998</v>
      </c>
      <c r="D26" s="5">
        <f ca="1">SUMIF('Database '!$A$11:$A$22,A26,'Database '!$G$11:$G$22)*(1+Table2[[#This Row],[Growth Percentage]])^(Table2[[#Headers],[2028]]-YEAR(TODAY()))</f>
        <v>123792131.73508559</v>
      </c>
      <c r="E26" s="5">
        <f ca="1">SUMIF('Database '!$A$11:$A$22,A26,'Database '!$G$11:$G$22)*(1+Table2[[#This Row],[Growth Percentage]])^(Table2[[#Headers],[2029]]-YEAR(TODAY()))</f>
        <v>131219659.63919073</v>
      </c>
      <c r="F26" s="5">
        <f ca="1">SUMIF('Database '!$A$11:$A$22,A26,'Database '!$G$11:$G$22)*(1+Table2[[#This Row],[Growth Percentage]])^(Table2[[#Headers],[2030]]-YEAR(TODAY()))</f>
        <v>139092839.21754217</v>
      </c>
      <c r="G26" s="5">
        <f ca="1">SUMIF('Database '!$A$11:$A$22,A26,'Database '!$G$11:$G$22)*(1+Table2[[#This Row],[Growth Percentage]])^(Table2[[#Headers],[2031]]-YEAR(TODAY()))</f>
        <v>147438409.57059473</v>
      </c>
      <c r="H26" s="5">
        <f ca="1">SUMIF('Database '!$A$11:$A$22,A26,'Database '!$G$11:$G$22)*(1+Table2[[#This Row],[Growth Percentage]])^(Table2[[#Headers],[2032]]-YEAR(TODAY()))</f>
        <v>156284714.14483044</v>
      </c>
      <c r="I26" s="5">
        <f ca="1">SUMIF('Database '!$A$11:$A$22,A26,'Database '!$G$11:$G$22)*(1+Table2[[#This Row],[Growth Percentage]])^(Table2[[#Headers],[2033]]-YEAR(TODAY()))</f>
        <v>165661796.99352026</v>
      </c>
      <c r="J26" s="5">
        <f ca="1">SUMIF('Database '!$A$11:$A$22,A26,'Database '!$G$11:$G$22)*(1+Table2[[#This Row],[Growth Percentage]])^(Table2[[#Headers],[2034]]-YEAR(TODAY()))</f>
        <v>175601504.81313148</v>
      </c>
      <c r="K26" s="5">
        <f ca="1">SUMIF('Database '!$A$11:$A$22,A26,'Database '!$G$11:$G$22)*(1+Table2[[#This Row],[Growth Percentage]])^(Table2[[#Headers],[2035]]-YEAR(TODAY()))</f>
        <v>186137595.10191935</v>
      </c>
      <c r="L26" s="5">
        <f ca="1">SUMIF('Database '!$A$11:$A$22,A26,'Database '!$G$11:$G$22)*(1+Table2[[#This Row],[Growth Percentage]])^(Table2[[#Headers],[2036]]-YEAR(TODAY()))</f>
        <v>197305850.80803454</v>
      </c>
    </row>
    <row r="27" spans="1:12">
      <c r="A27" t="str">
        <f>'Database '!$A$14</f>
        <v>BBRI</v>
      </c>
      <c r="B27" s="10">
        <f>'Database '!C28</f>
        <v>7.0000000000000007E-2</v>
      </c>
      <c r="C27" s="5">
        <f ca="1">SUMIF('Database '!$A$11:$A$22,A27,'Database '!$G$11:$G$22)*(1+Table2[[#This Row],[Growth Percentage]])^(Table2[[#Headers],[2027]]-YEAR(TODAY()))</f>
        <v>117886775.50421998</v>
      </c>
      <c r="D27" s="5">
        <f ca="1">SUMIF('Database '!$A$11:$A$22,A27,'Database '!$G$11:$G$22)*(1+Table2[[#This Row],[Growth Percentage]])^(Table2[[#Headers],[2028]]-YEAR(TODAY()))</f>
        <v>126138849.78951538</v>
      </c>
      <c r="E27" s="5">
        <f ca="1">SUMIF('Database '!$A$11:$A$22,A27,'Database '!$G$11:$G$22)*(1+Table2[[#This Row],[Growth Percentage]])^(Table2[[#Headers],[2029]]-YEAR(TODAY()))</f>
        <v>134968569.27478147</v>
      </c>
      <c r="F27" s="5">
        <f ca="1">SUMIF('Database '!$A$11:$A$22,A27,'Database '!$G$11:$G$22)*(1+Table2[[#This Row],[Growth Percentage]])^(Table2[[#Headers],[2030]]-YEAR(TODAY()))</f>
        <v>144416369.12401614</v>
      </c>
      <c r="G27" s="5">
        <f ca="1">SUMIF('Database '!$A$11:$A$22,A27,'Database '!$G$11:$G$22)*(1+Table2[[#This Row],[Growth Percentage]])^(Table2[[#Headers],[2031]]-YEAR(TODAY()))</f>
        <v>154525514.9626973</v>
      </c>
      <c r="H27" s="5">
        <f ca="1">SUMIF('Database '!$A$11:$A$22,A27,'Database '!$G$11:$G$22)*(1+Table2[[#This Row],[Growth Percentage]])^(Table2[[#Headers],[2032]]-YEAR(TODAY()))</f>
        <v>165342301.01008609</v>
      </c>
      <c r="I27" s="5">
        <f ca="1">SUMIF('Database '!$A$11:$A$22,A27,'Database '!$G$11:$G$22)*(1+Table2[[#This Row],[Growth Percentage]])^(Table2[[#Headers],[2033]]-YEAR(TODAY()))</f>
        <v>176916262.08079213</v>
      </c>
      <c r="J27" s="5">
        <f ca="1">SUMIF('Database '!$A$11:$A$22,A27,'Database '!$G$11:$G$22)*(1+Table2[[#This Row],[Growth Percentage]])^(Table2[[#Headers],[2034]]-YEAR(TODAY()))</f>
        <v>189300400.42644757</v>
      </c>
      <c r="K27" s="5">
        <f ca="1">SUMIF('Database '!$A$11:$A$22,A27,'Database '!$G$11:$G$22)*(1+Table2[[#This Row],[Growth Percentage]])^(Table2[[#Headers],[2035]]-YEAR(TODAY()))</f>
        <v>202551428.45629892</v>
      </c>
      <c r="L27" s="5">
        <f ca="1">SUMIF('Database '!$A$11:$A$22,A27,'Database '!$G$11:$G$22)*(1+Table2[[#This Row],[Growth Percentage]])^(Table2[[#Headers],[2036]]-YEAR(TODAY()))</f>
        <v>216730028.44823983</v>
      </c>
    </row>
    <row r="28" spans="1:12">
      <c r="A28" t="str">
        <f>'Database '!$A$14</f>
        <v>BBRI</v>
      </c>
      <c r="B28" s="11">
        <f>'Database '!D28</f>
        <v>0.08</v>
      </c>
      <c r="C28" s="5">
        <f ca="1">SUMIF('Database '!$A$11:$A$22,A28,'Database '!$G$11:$G$22)*(1+Table2[[#This Row],[Growth Percentage]])^(Table2[[#Headers],[2027]]-YEAR(TODAY()))</f>
        <v>118988521.06967998</v>
      </c>
      <c r="D28" s="5">
        <f ca="1">SUMIF('Database '!$A$11:$A$22,A28,'Database '!$G$11:$G$22)*(1+Table2[[#This Row],[Growth Percentage]])^(Table2[[#Headers],[2028]]-YEAR(TODAY()))</f>
        <v>128507602.75525439</v>
      </c>
      <c r="E28" s="5">
        <f ca="1">SUMIF('Database '!$A$11:$A$22,A28,'Database '!$G$11:$G$22)*(1+Table2[[#This Row],[Growth Percentage]])^(Table2[[#Headers],[2029]]-YEAR(TODAY()))</f>
        <v>138788210.97567475</v>
      </c>
      <c r="F28" s="5">
        <f ca="1">SUMIF('Database '!$A$11:$A$22,A28,'Database '!$G$11:$G$22)*(1+Table2[[#This Row],[Growth Percentage]])^(Table2[[#Headers],[2030]]-YEAR(TODAY()))</f>
        <v>149891267.85372874</v>
      </c>
      <c r="G28" s="5">
        <f ca="1">SUMIF('Database '!$A$11:$A$22,A28,'Database '!$G$11:$G$22)*(1+Table2[[#This Row],[Growth Percentage]])^(Table2[[#Headers],[2031]]-YEAR(TODAY()))</f>
        <v>161882569.28202704</v>
      </c>
      <c r="H28" s="5">
        <f ca="1">SUMIF('Database '!$A$11:$A$22,A28,'Database '!$G$11:$G$22)*(1+Table2[[#This Row],[Growth Percentage]])^(Table2[[#Headers],[2032]]-YEAR(TODAY()))</f>
        <v>174833174.82458922</v>
      </c>
      <c r="I28" s="5">
        <f ca="1">SUMIF('Database '!$A$11:$A$22,A28,'Database '!$G$11:$G$22)*(1+Table2[[#This Row],[Growth Percentage]])^(Table2[[#Headers],[2033]]-YEAR(TODAY()))</f>
        <v>188819828.81055635</v>
      </c>
      <c r="J28" s="5">
        <f ca="1">SUMIF('Database '!$A$11:$A$22,A28,'Database '!$G$11:$G$22)*(1+Table2[[#This Row],[Growth Percentage]])^(Table2[[#Headers],[2034]]-YEAR(TODAY()))</f>
        <v>203925415.11540085</v>
      </c>
      <c r="K28" s="5">
        <f ca="1">SUMIF('Database '!$A$11:$A$22,A28,'Database '!$G$11:$G$22)*(1+Table2[[#This Row],[Growth Percentage]])^(Table2[[#Headers],[2035]]-YEAR(TODAY()))</f>
        <v>220239448.32463294</v>
      </c>
      <c r="L28" s="5">
        <f ca="1">SUMIF('Database '!$A$11:$A$22,A28,'Database '!$G$11:$G$22)*(1+Table2[[#This Row],[Growth Percentage]])^(Table2[[#Headers],[2036]]-YEAR(TODAY()))</f>
        <v>237858604.19060358</v>
      </c>
    </row>
    <row r="29" spans="1:12">
      <c r="A29" t="str">
        <f>'Database '!$A$14</f>
        <v>BBRI</v>
      </c>
      <c r="B29" s="10">
        <f>'Database '!E28</f>
        <v>0.09</v>
      </c>
      <c r="C29" s="5">
        <f ca="1">SUMIF('Database '!$A$11:$A$22,A29,'Database '!$G$11:$G$22)*(1+Table2[[#This Row],[Growth Percentage]])^(Table2[[#Headers],[2027]]-YEAR(TODAY()))</f>
        <v>120090266.63513999</v>
      </c>
      <c r="D29" s="5">
        <f ca="1">SUMIF('Database '!$A$11:$A$22,A29,'Database '!$G$11:$G$22)*(1+Table2[[#This Row],[Growth Percentage]])^(Table2[[#Headers],[2028]]-YEAR(TODAY()))</f>
        <v>130898390.63230258</v>
      </c>
      <c r="E29" s="5">
        <f ca="1">SUMIF('Database '!$A$11:$A$22,A29,'Database '!$G$11:$G$22)*(1+Table2[[#This Row],[Growth Percentage]])^(Table2[[#Headers],[2029]]-YEAR(TODAY()))</f>
        <v>142679245.78920981</v>
      </c>
      <c r="F29" s="5">
        <f ca="1">SUMIF('Database '!$A$11:$A$22,A29,'Database '!$G$11:$G$22)*(1+Table2[[#This Row],[Growth Percentage]])^(Table2[[#Headers],[2030]]-YEAR(TODAY()))</f>
        <v>155520377.91023871</v>
      </c>
      <c r="G29" s="5">
        <f ca="1">SUMIF('Database '!$A$11:$A$22,A29,'Database '!$G$11:$G$22)*(1+Table2[[#This Row],[Growth Percentage]])^(Table2[[#Headers],[2031]]-YEAR(TODAY()))</f>
        <v>169517211.92216021</v>
      </c>
      <c r="H29" s="5">
        <f ca="1">SUMIF('Database '!$A$11:$A$22,A29,'Database '!$G$11:$G$22)*(1+Table2[[#This Row],[Growth Percentage]])^(Table2[[#Headers],[2032]]-YEAR(TODAY()))</f>
        <v>184773760.99515465</v>
      </c>
      <c r="I29" s="5">
        <f ca="1">SUMIF('Database '!$A$11:$A$22,A29,'Database '!$G$11:$G$22)*(1+Table2[[#This Row],[Growth Percentage]])^(Table2[[#Headers],[2033]]-YEAR(TODAY()))</f>
        <v>201403399.48471856</v>
      </c>
      <c r="J29" s="5">
        <f ca="1">SUMIF('Database '!$A$11:$A$22,A29,'Database '!$G$11:$G$22)*(1+Table2[[#This Row],[Growth Percentage]])^(Table2[[#Headers],[2034]]-YEAR(TODAY()))</f>
        <v>219529705.43834326</v>
      </c>
      <c r="K29" s="5">
        <f ca="1">SUMIF('Database '!$A$11:$A$22,A29,'Database '!$G$11:$G$22)*(1+Table2[[#This Row],[Growth Percentage]])^(Table2[[#Headers],[2035]]-YEAR(TODAY()))</f>
        <v>239287378.92779416</v>
      </c>
      <c r="L29" s="5">
        <f ca="1">SUMIF('Database '!$A$11:$A$22,A29,'Database '!$G$11:$G$22)*(1+Table2[[#This Row],[Growth Percentage]])^(Table2[[#Headers],[2036]]-YEAR(TODAY()))</f>
        <v>260823243.03129566</v>
      </c>
    </row>
    <row r="30" spans="1:12">
      <c r="A30" t="str">
        <f>'Database '!$A$14</f>
        <v>BBRI</v>
      </c>
      <c r="B30" s="11">
        <f>'Database '!F28</f>
        <v>9.5000000000000001E-2</v>
      </c>
      <c r="C30" s="5">
        <f ca="1">SUMIF('Database '!$A$11:$A$22,A30,'Database '!$G$11:$G$22)*(1+Table2[[#This Row],[Growth Percentage]])^(Table2[[#Headers],[2027]]-YEAR(TODAY()))</f>
        <v>120641139.41786997</v>
      </c>
      <c r="D30" s="5">
        <f ca="1">SUMIF('Database '!$A$11:$A$22,A30,'Database '!$G$11:$G$22)*(1+Table2[[#This Row],[Growth Percentage]])^(Table2[[#Headers],[2028]]-YEAR(TODAY()))</f>
        <v>132102047.66256762</v>
      </c>
      <c r="E30" s="5">
        <f ca="1">SUMIF('Database '!$A$11:$A$22,A30,'Database '!$G$11:$G$22)*(1+Table2[[#This Row],[Growth Percentage]])^(Table2[[#Headers],[2029]]-YEAR(TODAY()))</f>
        <v>144651742.19051152</v>
      </c>
      <c r="F30" s="5">
        <f ca="1">SUMIF('Database '!$A$11:$A$22,A30,'Database '!$G$11:$G$22)*(1+Table2[[#This Row],[Growth Percentage]])^(Table2[[#Headers],[2030]]-YEAR(TODAY()))</f>
        <v>158393657.69861013</v>
      </c>
      <c r="G30" s="5">
        <f ca="1">SUMIF('Database '!$A$11:$A$22,A30,'Database '!$G$11:$G$22)*(1+Table2[[#This Row],[Growth Percentage]])^(Table2[[#Headers],[2031]]-YEAR(TODAY()))</f>
        <v>173441055.1799781</v>
      </c>
      <c r="H30" s="5">
        <f ca="1">SUMIF('Database '!$A$11:$A$22,A30,'Database '!$G$11:$G$22)*(1+Table2[[#This Row],[Growth Percentage]])^(Table2[[#Headers],[2032]]-YEAR(TODAY()))</f>
        <v>189917955.42207602</v>
      </c>
      <c r="I30" s="5">
        <f ca="1">SUMIF('Database '!$A$11:$A$22,A30,'Database '!$G$11:$G$22)*(1+Table2[[#This Row],[Growth Percentage]])^(Table2[[#Headers],[2033]]-YEAR(TODAY()))</f>
        <v>207960161.18717325</v>
      </c>
      <c r="J30" s="5">
        <f ca="1">SUMIF('Database '!$A$11:$A$22,A30,'Database '!$G$11:$G$22)*(1+Table2[[#This Row],[Growth Percentage]])^(Table2[[#Headers],[2034]]-YEAR(TODAY()))</f>
        <v>227716376.4999547</v>
      </c>
      <c r="K30" s="5">
        <f ca="1">SUMIF('Database '!$A$11:$A$22,A30,'Database '!$G$11:$G$22)*(1+Table2[[#This Row],[Growth Percentage]])^(Table2[[#Headers],[2035]]-YEAR(TODAY()))</f>
        <v>249349432.26745039</v>
      </c>
      <c r="L30" s="5">
        <f ca="1">SUMIF('Database '!$A$11:$A$22,A30,'Database '!$G$11:$G$22)*(1+Table2[[#This Row],[Growth Percentage]])^(Table2[[#Headers],[2036]]-YEAR(TODAY()))</f>
        <v>273037628.3328582</v>
      </c>
    </row>
    <row r="31" spans="1:12">
      <c r="A31" t="str">
        <f>'Database '!$A$14</f>
        <v>BBRI</v>
      </c>
      <c r="B31" s="10">
        <f>'Database '!G28</f>
        <v>0.1</v>
      </c>
      <c r="C31" s="5">
        <f ca="1">SUMIF('Database '!$A$11:$A$22,A31,'Database '!$G$11:$G$22)*(1+Table2[[#This Row],[Growth Percentage]])^(Table2[[#Headers],[2027]]-YEAR(TODAY()))</f>
        <v>121192012.20059998</v>
      </c>
      <c r="D31" s="5">
        <f ca="1">SUMIF('Database '!$A$11:$A$22,A31,'Database '!$G$11:$G$22)*(1+Table2[[#This Row],[Growth Percentage]])^(Table2[[#Headers],[2028]]-YEAR(TODAY()))</f>
        <v>133311213.42065999</v>
      </c>
      <c r="E31" s="5">
        <f ca="1">SUMIF('Database '!$A$11:$A$22,A31,'Database '!$G$11:$G$22)*(1+Table2[[#This Row],[Growth Percentage]])^(Table2[[#Headers],[2029]]-YEAR(TODAY()))</f>
        <v>146642334.76272601</v>
      </c>
      <c r="F31" s="5">
        <f ca="1">SUMIF('Database '!$A$11:$A$22,A31,'Database '!$G$11:$G$22)*(1+Table2[[#This Row],[Growth Percentage]])^(Table2[[#Headers],[2030]]-YEAR(TODAY()))</f>
        <v>161306568.23899859</v>
      </c>
      <c r="G31" s="5">
        <f ca="1">SUMIF('Database '!$A$11:$A$22,A31,'Database '!$G$11:$G$22)*(1+Table2[[#This Row],[Growth Percentage]])^(Table2[[#Headers],[2031]]-YEAR(TODAY()))</f>
        <v>177437225.06289849</v>
      </c>
      <c r="H31" s="5">
        <f ca="1">SUMIF('Database '!$A$11:$A$22,A31,'Database '!$G$11:$G$22)*(1+Table2[[#This Row],[Growth Percentage]])^(Table2[[#Headers],[2032]]-YEAR(TODAY()))</f>
        <v>195180947.56918836</v>
      </c>
      <c r="I31" s="5">
        <f ca="1">SUMIF('Database '!$A$11:$A$22,A31,'Database '!$G$11:$G$22)*(1+Table2[[#This Row],[Growth Percentage]])^(Table2[[#Headers],[2033]]-YEAR(TODAY()))</f>
        <v>214699042.3261072</v>
      </c>
      <c r="J31" s="5">
        <f ca="1">SUMIF('Database '!$A$11:$A$22,A31,'Database '!$G$11:$G$22)*(1+Table2[[#This Row],[Growth Percentage]])^(Table2[[#Headers],[2034]]-YEAR(TODAY()))</f>
        <v>236168946.55871791</v>
      </c>
      <c r="K31" s="5">
        <f ca="1">SUMIF('Database '!$A$11:$A$22,A31,'Database '!$G$11:$G$22)*(1+Table2[[#This Row],[Growth Percentage]])^(Table2[[#Headers],[2035]]-YEAR(TODAY()))</f>
        <v>259785841.21458974</v>
      </c>
      <c r="L31" s="5">
        <f ca="1">SUMIF('Database '!$A$11:$A$22,A31,'Database '!$G$11:$G$22)*(1+Table2[[#This Row],[Growth Percentage]])^(Table2[[#Headers],[2036]]-YEAR(TODAY()))</f>
        <v>285764425.33604872</v>
      </c>
    </row>
    <row r="32" spans="1:12">
      <c r="A32" t="str">
        <f>'Database '!$A$14</f>
        <v>BBRI</v>
      </c>
      <c r="B32" s="10">
        <f>'Database '!H28</f>
        <v>0.11</v>
      </c>
      <c r="C32" s="5">
        <f ca="1">SUMIF('Database '!$A$11:$A$22,A32,'Database '!$G$11:$G$22)*(1+Table2[[#This Row],[Growth Percentage]])^(Table2[[#Headers],[2027]]-YEAR(TODAY()))</f>
        <v>122293757.76605998</v>
      </c>
      <c r="D32" s="5">
        <f ca="1">SUMIF('Database '!$A$11:$A$22,A32,'Database '!$G$11:$G$22)*(1+Table2[[#This Row],[Growth Percentage]])^(Table2[[#Headers],[2028]]-YEAR(TODAY()))</f>
        <v>135746071.12032658</v>
      </c>
      <c r="E32" s="5">
        <f ca="1">SUMIF('Database '!$A$11:$A$22,A32,'Database '!$G$11:$G$22)*(1+Table2[[#This Row],[Growth Percentage]])^(Table2[[#Headers],[2029]]-YEAR(TODAY()))</f>
        <v>150678138.94356251</v>
      </c>
      <c r="F32" s="5">
        <f ca="1">SUMIF('Database '!$A$11:$A$22,A32,'Database '!$G$11:$G$22)*(1+Table2[[#This Row],[Growth Percentage]])^(Table2[[#Headers],[2030]]-YEAR(TODAY()))</f>
        <v>167252734.22735441</v>
      </c>
      <c r="G32" s="5">
        <f ca="1">SUMIF('Database '!$A$11:$A$22,A32,'Database '!$G$11:$G$22)*(1+Table2[[#This Row],[Growth Percentage]])^(Table2[[#Headers],[2031]]-YEAR(TODAY()))</f>
        <v>185650534.99236339</v>
      </c>
      <c r="H32" s="5">
        <f ca="1">SUMIF('Database '!$A$11:$A$22,A32,'Database '!$G$11:$G$22)*(1+Table2[[#This Row],[Growth Percentage]])^(Table2[[#Headers],[2032]]-YEAR(TODAY()))</f>
        <v>206072093.84152338</v>
      </c>
      <c r="I32" s="5">
        <f ca="1">SUMIF('Database '!$A$11:$A$22,A32,'Database '!$G$11:$G$22)*(1+Table2[[#This Row],[Growth Percentage]])^(Table2[[#Headers],[2033]]-YEAR(TODAY()))</f>
        <v>228740024.16409096</v>
      </c>
      <c r="J32" s="5">
        <f ca="1">SUMIF('Database '!$A$11:$A$22,A32,'Database '!$G$11:$G$22)*(1+Table2[[#This Row],[Growth Percentage]])^(Table2[[#Headers],[2034]]-YEAR(TODAY()))</f>
        <v>253901426.82214102</v>
      </c>
      <c r="K32" s="5">
        <f ca="1">SUMIF('Database '!$A$11:$A$22,A32,'Database '!$G$11:$G$22)*(1+Table2[[#This Row],[Growth Percentage]])^(Table2[[#Headers],[2035]]-YEAR(TODAY()))</f>
        <v>281830583.77257657</v>
      </c>
      <c r="L32" s="5">
        <f ca="1">SUMIF('Database '!$A$11:$A$22,A32,'Database '!$G$11:$G$22)*(1+Table2[[#This Row],[Growth Percentage]])^(Table2[[#Headers],[2036]]-YEAR(TODAY()))</f>
        <v>312831947.98756003</v>
      </c>
    </row>
    <row r="33" spans="1:12">
      <c r="A33" t="str">
        <f>'Database '!$A$14</f>
        <v>BBRI</v>
      </c>
      <c r="B33" s="10">
        <f>'Database '!I28</f>
        <v>0.12</v>
      </c>
      <c r="C33" s="5">
        <f ca="1">SUMIF('Database '!$A$11:$A$22,A33,'Database '!$G$11:$G$22)*(1+Table2[[#This Row],[Growth Percentage]])^(Table2[[#Headers],[2027]]-YEAR(TODAY()))</f>
        <v>123395503.33151998</v>
      </c>
      <c r="D33" s="5">
        <f ca="1">SUMIF('Database '!$A$11:$A$22,A33,'Database '!$G$11:$G$22)*(1+Table2[[#This Row],[Growth Percentage]])^(Table2[[#Headers],[2028]]-YEAR(TODAY()))</f>
        <v>138202963.73130238</v>
      </c>
      <c r="E33" s="5">
        <f ca="1">SUMIF('Database '!$A$11:$A$22,A33,'Database '!$G$11:$G$22)*(1+Table2[[#This Row],[Growth Percentage]])^(Table2[[#Headers],[2029]]-YEAR(TODAY()))</f>
        <v>154787319.37905869</v>
      </c>
      <c r="F33" s="5">
        <f ca="1">SUMIF('Database '!$A$11:$A$22,A33,'Database '!$G$11:$G$22)*(1+Table2[[#This Row],[Growth Percentage]])^(Table2[[#Headers],[2030]]-YEAR(TODAY()))</f>
        <v>173361797.70454574</v>
      </c>
      <c r="G33" s="5">
        <f ca="1">SUMIF('Database '!$A$11:$A$22,A33,'Database '!$G$11:$G$22)*(1+Table2[[#This Row],[Growth Percentage]])^(Table2[[#Headers],[2031]]-YEAR(TODAY()))</f>
        <v>194165213.42909122</v>
      </c>
      <c r="H33" s="5">
        <f ca="1">SUMIF('Database '!$A$11:$A$22,A33,'Database '!$G$11:$G$22)*(1+Table2[[#This Row],[Growth Percentage]])^(Table2[[#Headers],[2032]]-YEAR(TODAY()))</f>
        <v>217465039.04058221</v>
      </c>
      <c r="I33" s="5">
        <f ca="1">SUMIF('Database '!$A$11:$A$22,A33,'Database '!$G$11:$G$22)*(1+Table2[[#This Row],[Growth Percentage]])^(Table2[[#Headers],[2033]]-YEAR(TODAY()))</f>
        <v>243560843.72545207</v>
      </c>
      <c r="J33" s="5">
        <f ca="1">SUMIF('Database '!$A$11:$A$22,A33,'Database '!$G$11:$G$22)*(1+Table2[[#This Row],[Growth Percentage]])^(Table2[[#Headers],[2034]]-YEAR(TODAY()))</f>
        <v>272788144.97250634</v>
      </c>
      <c r="K33" s="5">
        <f ca="1">SUMIF('Database '!$A$11:$A$22,A33,'Database '!$G$11:$G$22)*(1+Table2[[#This Row],[Growth Percentage]])^(Table2[[#Headers],[2035]]-YEAR(TODAY()))</f>
        <v>305522722.36920714</v>
      </c>
      <c r="L33" s="5">
        <f ca="1">SUMIF('Database '!$A$11:$A$22,A33,'Database '!$G$11:$G$22)*(1+Table2[[#This Row],[Growth Percentage]])^(Table2[[#Headers],[2036]]-YEAR(TODAY()))</f>
        <v>342185449.05351198</v>
      </c>
    </row>
    <row r="34" spans="1:12">
      <c r="A34" t="str">
        <f>'Database '!$A$15</f>
        <v>BREN</v>
      </c>
      <c r="B34" s="11">
        <f>'Database '!B28</f>
        <v>0.06</v>
      </c>
      <c r="C34" s="5">
        <f ca="1">SUMIF('Database '!$A$11:$A$22,A34,'Database '!$G$11:$G$22)*(1+Table2[[#This Row],[Growth Percentage]])^(Table2[[#Headers],[2027]]-YEAR(TODAY()))</f>
        <v>65602765.494599998</v>
      </c>
      <c r="D34" s="5">
        <f ca="1">SUMIF('Database '!$A$11:$A$22,A34,'Database '!$G$11:$G$22)*(1+Table2[[#This Row],[Growth Percentage]])^(Table2[[#Headers],[2028]]-YEAR(TODAY()))</f>
        <v>69538931.424276009</v>
      </c>
      <c r="E34" s="5">
        <f ca="1">SUMIF('Database '!$A$11:$A$22,A34,'Database '!$G$11:$G$22)*(1+Table2[[#This Row],[Growth Percentage]])^(Table2[[#Headers],[2029]]-YEAR(TODAY()))</f>
        <v>73711267.309732571</v>
      </c>
      <c r="F34" s="5">
        <f ca="1">SUMIF('Database '!$A$11:$A$22,A34,'Database '!$G$11:$G$22)*(1+Table2[[#This Row],[Growth Percentage]])^(Table2[[#Headers],[2030]]-YEAR(TODAY()))</f>
        <v>78133943.348316535</v>
      </c>
      <c r="G34" s="5">
        <f ca="1">SUMIF('Database '!$A$11:$A$22,A34,'Database '!$G$11:$G$22)*(1+Table2[[#This Row],[Growth Percentage]])^(Table2[[#Headers],[2031]]-YEAR(TODAY()))</f>
        <v>82821979.949215531</v>
      </c>
      <c r="H34" s="5">
        <f ca="1">SUMIF('Database '!$A$11:$A$22,A34,'Database '!$G$11:$G$22)*(1+Table2[[#This Row],[Growth Percentage]])^(Table2[[#Headers],[2032]]-YEAR(TODAY()))</f>
        <v>87791298.746168464</v>
      </c>
      <c r="I34" s="5">
        <f ca="1">SUMIF('Database '!$A$11:$A$22,A34,'Database '!$G$11:$G$22)*(1+Table2[[#This Row],[Growth Percentage]])^(Table2[[#Headers],[2033]]-YEAR(TODAY()))</f>
        <v>93058776.670938581</v>
      </c>
      <c r="J34" s="5">
        <f ca="1">SUMIF('Database '!$A$11:$A$22,A34,'Database '!$G$11:$G$22)*(1+Table2[[#This Row],[Growth Percentage]])^(Table2[[#Headers],[2034]]-YEAR(TODAY()))</f>
        <v>98642303.27119489</v>
      </c>
      <c r="K34" s="5">
        <f ca="1">SUMIF('Database '!$A$11:$A$22,A34,'Database '!$G$11:$G$22)*(1+Table2[[#This Row],[Growth Percentage]])^(Table2[[#Headers],[2035]]-YEAR(TODAY()))</f>
        <v>104560841.46746658</v>
      </c>
      <c r="L34" s="5">
        <f ca="1">SUMIF('Database '!$A$11:$A$22,A34,'Database '!$G$11:$G$22)*(1+Table2[[#This Row],[Growth Percentage]])^(Table2[[#Headers],[2036]]-YEAR(TODAY()))</f>
        <v>110834491.95551459</v>
      </c>
    </row>
    <row r="35" spans="1:12">
      <c r="A35" t="str">
        <f>'Database '!$A$15</f>
        <v>BREN</v>
      </c>
      <c r="B35" s="10">
        <f>'Database '!C28</f>
        <v>7.0000000000000007E-2</v>
      </c>
      <c r="C35" s="5">
        <f ca="1">SUMIF('Database '!$A$11:$A$22,A35,'Database '!$G$11:$G$22)*(1+Table2[[#This Row],[Growth Percentage]])^(Table2[[#Headers],[2027]]-YEAR(TODAY()))</f>
        <v>66221659.508699998</v>
      </c>
      <c r="D35" s="5">
        <f ca="1">SUMIF('Database '!$A$11:$A$22,A35,'Database '!$G$11:$G$22)*(1+Table2[[#This Row],[Growth Percentage]])^(Table2[[#Headers],[2028]]-YEAR(TODAY()))</f>
        <v>70857175.674309</v>
      </c>
      <c r="E35" s="5">
        <f ca="1">SUMIF('Database '!$A$11:$A$22,A35,'Database '!$G$11:$G$22)*(1+Table2[[#This Row],[Growth Percentage]])^(Table2[[#Headers],[2029]]-YEAR(TODAY()))</f>
        <v>75817177.971510634</v>
      </c>
      <c r="F35" s="5">
        <f ca="1">SUMIF('Database '!$A$11:$A$22,A35,'Database '!$G$11:$G$22)*(1+Table2[[#This Row],[Growth Percentage]])^(Table2[[#Headers],[2030]]-YEAR(TODAY()))</f>
        <v>81124380.429516375</v>
      </c>
      <c r="G35" s="5">
        <f ca="1">SUMIF('Database '!$A$11:$A$22,A35,'Database '!$G$11:$G$22)*(1+Table2[[#This Row],[Growth Percentage]])^(Table2[[#Headers],[2031]]-YEAR(TODAY()))</f>
        <v>86803087.059582531</v>
      </c>
      <c r="H35" s="5">
        <f ca="1">SUMIF('Database '!$A$11:$A$22,A35,'Database '!$G$11:$G$22)*(1+Table2[[#This Row],[Growth Percentage]])^(Table2[[#Headers],[2032]]-YEAR(TODAY()))</f>
        <v>92879303.153753296</v>
      </c>
      <c r="I35" s="5">
        <f ca="1">SUMIF('Database '!$A$11:$A$22,A35,'Database '!$G$11:$G$22)*(1+Table2[[#This Row],[Growth Percentage]])^(Table2[[#Headers],[2033]]-YEAR(TODAY()))</f>
        <v>99380854.374516025</v>
      </c>
      <c r="J35" s="5">
        <f ca="1">SUMIF('Database '!$A$11:$A$22,A35,'Database '!$G$11:$G$22)*(1+Table2[[#This Row],[Growth Percentage]])^(Table2[[#Headers],[2034]]-YEAR(TODAY()))</f>
        <v>106337514.18073215</v>
      </c>
      <c r="K35" s="5">
        <f ca="1">SUMIF('Database '!$A$11:$A$22,A35,'Database '!$G$11:$G$22)*(1+Table2[[#This Row],[Growth Percentage]])^(Table2[[#Headers],[2035]]-YEAR(TODAY()))</f>
        <v>113781140.17338341</v>
      </c>
      <c r="L35" s="5">
        <f ca="1">SUMIF('Database '!$A$11:$A$22,A35,'Database '!$G$11:$G$22)*(1+Table2[[#This Row],[Growth Percentage]])^(Table2[[#Headers],[2036]]-YEAR(TODAY()))</f>
        <v>121745819.98552024</v>
      </c>
    </row>
    <row r="36" spans="1:12">
      <c r="A36" t="str">
        <f>'Database '!$A$15</f>
        <v>BREN</v>
      </c>
      <c r="B36" s="11">
        <f>'Database '!D28</f>
        <v>0.08</v>
      </c>
      <c r="C36" s="5">
        <f ca="1">SUMIF('Database '!$A$11:$A$22,A36,'Database '!$G$11:$G$22)*(1+Table2[[#This Row],[Growth Percentage]])^(Table2[[#Headers],[2027]]-YEAR(TODAY()))</f>
        <v>66840553.522799999</v>
      </c>
      <c r="D36" s="5">
        <f ca="1">SUMIF('Database '!$A$11:$A$22,A36,'Database '!$G$11:$G$22)*(1+Table2[[#This Row],[Growth Percentage]])^(Table2[[#Headers],[2028]]-YEAR(TODAY()))</f>
        <v>72187797.804624006</v>
      </c>
      <c r="E36" s="5">
        <f ca="1">SUMIF('Database '!$A$11:$A$22,A36,'Database '!$G$11:$G$22)*(1+Table2[[#This Row],[Growth Percentage]])^(Table2[[#Headers],[2029]]-YEAR(TODAY()))</f>
        <v>77962821.628993928</v>
      </c>
      <c r="F36" s="5">
        <f ca="1">SUMIF('Database '!$A$11:$A$22,A36,'Database '!$G$11:$G$22)*(1+Table2[[#This Row],[Growth Percentage]])^(Table2[[#Headers],[2030]]-YEAR(TODAY()))</f>
        <v>84199847.359313443</v>
      </c>
      <c r="G36" s="5">
        <f ca="1">SUMIF('Database '!$A$11:$A$22,A36,'Database '!$G$11:$G$22)*(1+Table2[[#This Row],[Growth Percentage]])^(Table2[[#Headers],[2031]]-YEAR(TODAY()))</f>
        <v>90935835.148058519</v>
      </c>
      <c r="H36" s="5">
        <f ca="1">SUMIF('Database '!$A$11:$A$22,A36,'Database '!$G$11:$G$22)*(1+Table2[[#This Row],[Growth Percentage]])^(Table2[[#Headers],[2032]]-YEAR(TODAY()))</f>
        <v>98210701.95990321</v>
      </c>
      <c r="I36" s="5">
        <f ca="1">SUMIF('Database '!$A$11:$A$22,A36,'Database '!$G$11:$G$22)*(1+Table2[[#This Row],[Growth Percentage]])^(Table2[[#Headers],[2033]]-YEAR(TODAY()))</f>
        <v>106067558.11669548</v>
      </c>
      <c r="J36" s="5">
        <f ca="1">SUMIF('Database '!$A$11:$A$22,A36,'Database '!$G$11:$G$22)*(1+Table2[[#This Row],[Growth Percentage]])^(Table2[[#Headers],[2034]]-YEAR(TODAY()))</f>
        <v>114552962.76603112</v>
      </c>
      <c r="K36" s="5">
        <f ca="1">SUMIF('Database '!$A$11:$A$22,A36,'Database '!$G$11:$G$22)*(1+Table2[[#This Row],[Growth Percentage]])^(Table2[[#Headers],[2035]]-YEAR(TODAY()))</f>
        <v>123717199.78731361</v>
      </c>
      <c r="L36" s="5">
        <f ca="1">SUMIF('Database '!$A$11:$A$22,A36,'Database '!$G$11:$G$22)*(1+Table2[[#This Row],[Growth Percentage]])^(Table2[[#Headers],[2036]]-YEAR(TODAY()))</f>
        <v>133614575.7702987</v>
      </c>
    </row>
    <row r="37" spans="1:12">
      <c r="A37" t="str">
        <f>'Database '!$A$15</f>
        <v>BREN</v>
      </c>
      <c r="B37" s="10">
        <f>'Database '!E28</f>
        <v>0.09</v>
      </c>
      <c r="C37" s="5">
        <f ca="1">SUMIF('Database '!$A$11:$A$22,A37,'Database '!$G$11:$G$22)*(1+Table2[[#This Row],[Growth Percentage]])^(Table2[[#Headers],[2027]]-YEAR(TODAY()))</f>
        <v>67459447.536899999</v>
      </c>
      <c r="D37" s="5">
        <f ca="1">SUMIF('Database '!$A$11:$A$22,A37,'Database '!$G$11:$G$22)*(1+Table2[[#This Row],[Growth Percentage]])^(Table2[[#Headers],[2028]]-YEAR(TODAY()))</f>
        <v>73530797.815221012</v>
      </c>
      <c r="E37" s="5">
        <f ca="1">SUMIF('Database '!$A$11:$A$22,A37,'Database '!$G$11:$G$22)*(1+Table2[[#This Row],[Growth Percentage]])^(Table2[[#Headers],[2029]]-YEAR(TODAY()))</f>
        <v>80148569.618590891</v>
      </c>
      <c r="F37" s="5">
        <f ca="1">SUMIF('Database '!$A$11:$A$22,A37,'Database '!$G$11:$G$22)*(1+Table2[[#This Row],[Growth Percentage]])^(Table2[[#Headers],[2030]]-YEAR(TODAY()))</f>
        <v>87361940.884264082</v>
      </c>
      <c r="G37" s="5">
        <f ca="1">SUMIF('Database '!$A$11:$A$22,A37,'Database '!$G$11:$G$22)*(1+Table2[[#This Row],[Growth Percentage]])^(Table2[[#Headers],[2031]]-YEAR(TODAY()))</f>
        <v>95224515.563847855</v>
      </c>
      <c r="H37" s="5">
        <f ca="1">SUMIF('Database '!$A$11:$A$22,A37,'Database '!$G$11:$G$22)*(1+Table2[[#This Row],[Growth Percentage]])^(Table2[[#Headers],[2032]]-YEAR(TODAY()))</f>
        <v>103794721.96459417</v>
      </c>
      <c r="I37" s="5">
        <f ca="1">SUMIF('Database '!$A$11:$A$22,A37,'Database '!$G$11:$G$22)*(1+Table2[[#This Row],[Growth Percentage]])^(Table2[[#Headers],[2033]]-YEAR(TODAY()))</f>
        <v>113136246.94140765</v>
      </c>
      <c r="J37" s="5">
        <f ca="1">SUMIF('Database '!$A$11:$A$22,A37,'Database '!$G$11:$G$22)*(1+Table2[[#This Row],[Growth Percentage]])^(Table2[[#Headers],[2034]]-YEAR(TODAY()))</f>
        <v>123318509.16613434</v>
      </c>
      <c r="K37" s="5">
        <f ca="1">SUMIF('Database '!$A$11:$A$22,A37,'Database '!$G$11:$G$22)*(1+Table2[[#This Row],[Growth Percentage]])^(Table2[[#Headers],[2035]]-YEAR(TODAY()))</f>
        <v>134417174.99108645</v>
      </c>
      <c r="L37" s="5">
        <f ca="1">SUMIF('Database '!$A$11:$A$22,A37,'Database '!$G$11:$G$22)*(1+Table2[[#This Row],[Growth Percentage]])^(Table2[[#Headers],[2036]]-YEAR(TODAY()))</f>
        <v>146514720.74028423</v>
      </c>
    </row>
    <row r="38" spans="1:12">
      <c r="A38" t="str">
        <f>'Database '!$A$15</f>
        <v>BREN</v>
      </c>
      <c r="B38" s="11">
        <f>'Database '!F28</f>
        <v>9.5000000000000001E-2</v>
      </c>
      <c r="C38" s="5">
        <f ca="1">SUMIF('Database '!$A$11:$A$22,A38,'Database '!$G$11:$G$22)*(1+Table2[[#This Row],[Growth Percentage]])^(Table2[[#Headers],[2027]]-YEAR(TODAY()))</f>
        <v>67768894.543949991</v>
      </c>
      <c r="D38" s="5">
        <f ca="1">SUMIF('Database '!$A$11:$A$22,A38,'Database '!$G$11:$G$22)*(1+Table2[[#This Row],[Growth Percentage]])^(Table2[[#Headers],[2028]]-YEAR(TODAY()))</f>
        <v>74206939.525625244</v>
      </c>
      <c r="E38" s="5">
        <f ca="1">SUMIF('Database '!$A$11:$A$22,A38,'Database '!$G$11:$G$22)*(1+Table2[[#This Row],[Growth Percentage]])^(Table2[[#Headers],[2029]]-YEAR(TODAY()))</f>
        <v>81256598.780559644</v>
      </c>
      <c r="F38" s="5">
        <f ca="1">SUMIF('Database '!$A$11:$A$22,A38,'Database '!$G$11:$G$22)*(1+Table2[[#This Row],[Growth Percentage]])^(Table2[[#Headers],[2030]]-YEAR(TODAY()))</f>
        <v>88975975.664712816</v>
      </c>
      <c r="G38" s="5">
        <f ca="1">SUMIF('Database '!$A$11:$A$22,A38,'Database '!$G$11:$G$22)*(1+Table2[[#This Row],[Growth Percentage]])^(Table2[[#Headers],[2031]]-YEAR(TODAY()))</f>
        <v>97428693.352860525</v>
      </c>
      <c r="H38" s="5">
        <f ca="1">SUMIF('Database '!$A$11:$A$22,A38,'Database '!$G$11:$G$22)*(1+Table2[[#This Row],[Growth Percentage]])^(Table2[[#Headers],[2032]]-YEAR(TODAY()))</f>
        <v>106684419.22138228</v>
      </c>
      <c r="I38" s="5">
        <f ca="1">SUMIF('Database '!$A$11:$A$22,A38,'Database '!$G$11:$G$22)*(1+Table2[[#This Row],[Growth Percentage]])^(Table2[[#Headers],[2033]]-YEAR(TODAY()))</f>
        <v>116819439.04741359</v>
      </c>
      <c r="J38" s="5">
        <f ca="1">SUMIF('Database '!$A$11:$A$22,A38,'Database '!$G$11:$G$22)*(1+Table2[[#This Row],[Growth Percentage]])^(Table2[[#Headers],[2034]]-YEAR(TODAY()))</f>
        <v>127917285.75691789</v>
      </c>
      <c r="K38" s="5">
        <f ca="1">SUMIF('Database '!$A$11:$A$22,A38,'Database '!$G$11:$G$22)*(1+Table2[[#This Row],[Growth Percentage]])^(Table2[[#Headers],[2035]]-YEAR(TODAY()))</f>
        <v>140069427.90382507</v>
      </c>
      <c r="L38" s="5">
        <f ca="1">SUMIF('Database '!$A$11:$A$22,A38,'Database '!$G$11:$G$22)*(1+Table2[[#This Row],[Growth Percentage]])^(Table2[[#Headers],[2036]]-YEAR(TODAY()))</f>
        <v>153376023.55468848</v>
      </c>
    </row>
    <row r="39" spans="1:12">
      <c r="A39" t="str">
        <f>'Database '!$A$15</f>
        <v>BREN</v>
      </c>
      <c r="B39" s="10">
        <f>'Database '!G28</f>
        <v>0.1</v>
      </c>
      <c r="C39" s="5">
        <f ca="1">SUMIF('Database '!$A$11:$A$22,A39,'Database '!$G$11:$G$22)*(1+Table2[[#This Row],[Growth Percentage]])^(Table2[[#Headers],[2027]]-YEAR(TODAY()))</f>
        <v>68078341.550999999</v>
      </c>
      <c r="D39" s="5">
        <f ca="1">SUMIF('Database '!$A$11:$A$22,A39,'Database '!$G$11:$G$22)*(1+Table2[[#This Row],[Growth Percentage]])^(Table2[[#Headers],[2028]]-YEAR(TODAY()))</f>
        <v>74886175.706100002</v>
      </c>
      <c r="E39" s="5">
        <f ca="1">SUMIF('Database '!$A$11:$A$22,A39,'Database '!$G$11:$G$22)*(1+Table2[[#This Row],[Growth Percentage]])^(Table2[[#Headers],[2029]]-YEAR(TODAY()))</f>
        <v>82374793.276710019</v>
      </c>
      <c r="F39" s="5">
        <f ca="1">SUMIF('Database '!$A$11:$A$22,A39,'Database '!$G$11:$G$22)*(1+Table2[[#This Row],[Growth Percentage]])^(Table2[[#Headers],[2030]]-YEAR(TODAY()))</f>
        <v>90612272.604381025</v>
      </c>
      <c r="G39" s="5">
        <f ca="1">SUMIF('Database '!$A$11:$A$22,A39,'Database '!$G$11:$G$22)*(1+Table2[[#This Row],[Growth Percentage]])^(Table2[[#Headers],[2031]]-YEAR(TODAY()))</f>
        <v>99673499.864819124</v>
      </c>
      <c r="H39" s="5">
        <f ca="1">SUMIF('Database '!$A$11:$A$22,A39,'Database '!$G$11:$G$22)*(1+Table2[[#This Row],[Growth Percentage]])^(Table2[[#Headers],[2032]]-YEAR(TODAY()))</f>
        <v>109640849.85130106</v>
      </c>
      <c r="I39" s="5">
        <f ca="1">SUMIF('Database '!$A$11:$A$22,A39,'Database '!$G$11:$G$22)*(1+Table2[[#This Row],[Growth Percentage]])^(Table2[[#Headers],[2033]]-YEAR(TODAY()))</f>
        <v>120604934.83643118</v>
      </c>
      <c r="J39" s="5">
        <f ca="1">SUMIF('Database '!$A$11:$A$22,A39,'Database '!$G$11:$G$22)*(1+Table2[[#This Row],[Growth Percentage]])^(Table2[[#Headers],[2034]]-YEAR(TODAY()))</f>
        <v>132665428.32007429</v>
      </c>
      <c r="K39" s="5">
        <f ca="1">SUMIF('Database '!$A$11:$A$22,A39,'Database '!$G$11:$G$22)*(1+Table2[[#This Row],[Growth Percentage]])^(Table2[[#Headers],[2035]]-YEAR(TODAY()))</f>
        <v>145931971.15208173</v>
      </c>
      <c r="L39" s="5">
        <f ca="1">SUMIF('Database '!$A$11:$A$22,A39,'Database '!$G$11:$G$22)*(1+Table2[[#This Row],[Growth Percentage]])^(Table2[[#Headers],[2036]]-YEAR(TODAY()))</f>
        <v>160525168.26728991</v>
      </c>
    </row>
    <row r="40" spans="1:12">
      <c r="A40" t="str">
        <f>'Database '!$A$15</f>
        <v>BREN</v>
      </c>
      <c r="B40" s="10">
        <f>'Database '!H28</f>
        <v>0.11</v>
      </c>
      <c r="C40" s="5">
        <f ca="1">SUMIF('Database '!$A$11:$A$22,A40,'Database '!$G$11:$G$22)*(1+Table2[[#This Row],[Growth Percentage]])^(Table2[[#Headers],[2027]]-YEAR(TODAY()))</f>
        <v>68697235.565099999</v>
      </c>
      <c r="D40" s="5">
        <f ca="1">SUMIF('Database '!$A$11:$A$22,A40,'Database '!$G$11:$G$22)*(1+Table2[[#This Row],[Growth Percentage]])^(Table2[[#Headers],[2028]]-YEAR(TODAY()))</f>
        <v>76253931.477261007</v>
      </c>
      <c r="E40" s="5">
        <f ca="1">SUMIF('Database '!$A$11:$A$22,A40,'Database '!$G$11:$G$22)*(1+Table2[[#This Row],[Growth Percentage]])^(Table2[[#Headers],[2029]]-YEAR(TODAY()))</f>
        <v>84641863.939759716</v>
      </c>
      <c r="F40" s="5">
        <f ca="1">SUMIF('Database '!$A$11:$A$22,A40,'Database '!$G$11:$G$22)*(1+Table2[[#This Row],[Growth Percentage]])^(Table2[[#Headers],[2030]]-YEAR(TODAY()))</f>
        <v>93952468.973133296</v>
      </c>
      <c r="G40" s="5">
        <f ca="1">SUMIF('Database '!$A$11:$A$22,A40,'Database '!$G$11:$G$22)*(1+Table2[[#This Row],[Growth Percentage]])^(Table2[[#Headers],[2031]]-YEAR(TODAY()))</f>
        <v>104287240.56017797</v>
      </c>
      <c r="H40" s="5">
        <f ca="1">SUMIF('Database '!$A$11:$A$22,A40,'Database '!$G$11:$G$22)*(1+Table2[[#This Row],[Growth Percentage]])^(Table2[[#Headers],[2032]]-YEAR(TODAY()))</f>
        <v>115758837.02179755</v>
      </c>
      <c r="I40" s="5">
        <f ca="1">SUMIF('Database '!$A$11:$A$22,A40,'Database '!$G$11:$G$22)*(1+Table2[[#This Row],[Growth Percentage]])^(Table2[[#Headers],[2033]]-YEAR(TODAY()))</f>
        <v>128492309.09419528</v>
      </c>
      <c r="J40" s="5">
        <f ca="1">SUMIF('Database '!$A$11:$A$22,A40,'Database '!$G$11:$G$22)*(1+Table2[[#This Row],[Growth Percentage]])^(Table2[[#Headers],[2034]]-YEAR(TODAY()))</f>
        <v>142626463.09455681</v>
      </c>
      <c r="K40" s="5">
        <f ca="1">SUMIF('Database '!$A$11:$A$22,A40,'Database '!$G$11:$G$22)*(1+Table2[[#This Row],[Growth Percentage]])^(Table2[[#Headers],[2035]]-YEAR(TODAY()))</f>
        <v>158315374.03495806</v>
      </c>
      <c r="L40" s="5">
        <f ca="1">SUMIF('Database '!$A$11:$A$22,A40,'Database '!$G$11:$G$22)*(1+Table2[[#This Row],[Growth Percentage]])^(Table2[[#Headers],[2036]]-YEAR(TODAY()))</f>
        <v>175730065.17880347</v>
      </c>
    </row>
    <row r="41" spans="1:12">
      <c r="A41" t="str">
        <f>'Database '!$A$15</f>
        <v>BREN</v>
      </c>
      <c r="B41" s="10">
        <f>'Database '!I28</f>
        <v>0.12</v>
      </c>
      <c r="C41" s="5">
        <f ca="1">SUMIF('Database '!$A$11:$A$22,A41,'Database '!$G$11:$G$22)*(1+Table2[[#This Row],[Growth Percentage]])^(Table2[[#Headers],[2027]]-YEAR(TODAY()))</f>
        <v>69316129.5792</v>
      </c>
      <c r="D41" s="5">
        <f ca="1">SUMIF('Database '!$A$11:$A$22,A41,'Database '!$G$11:$G$22)*(1+Table2[[#This Row],[Growth Percentage]])^(Table2[[#Headers],[2028]]-YEAR(TODAY()))</f>
        <v>77634065.128704011</v>
      </c>
      <c r="E41" s="5">
        <f ca="1">SUMIF('Database '!$A$11:$A$22,A41,'Database '!$G$11:$G$22)*(1+Table2[[#This Row],[Growth Percentage]])^(Table2[[#Headers],[2029]]-YEAR(TODAY()))</f>
        <v>86950152.944148496</v>
      </c>
      <c r="F41" s="5">
        <f ca="1">SUMIF('Database '!$A$11:$A$22,A41,'Database '!$G$11:$G$22)*(1+Table2[[#This Row],[Growth Percentage]])^(Table2[[#Headers],[2030]]-YEAR(TODAY()))</f>
        <v>97384171.297446311</v>
      </c>
      <c r="G41" s="5">
        <f ca="1">SUMIF('Database '!$A$11:$A$22,A41,'Database '!$G$11:$G$22)*(1+Table2[[#This Row],[Growth Percentage]])^(Table2[[#Headers],[2031]]-YEAR(TODAY()))</f>
        <v>109070271.85313988</v>
      </c>
      <c r="H41" s="5">
        <f ca="1">SUMIF('Database '!$A$11:$A$22,A41,'Database '!$G$11:$G$22)*(1+Table2[[#This Row],[Growth Percentage]])^(Table2[[#Headers],[2032]]-YEAR(TODAY()))</f>
        <v>122158704.47551668</v>
      </c>
      <c r="I41" s="5">
        <f ca="1">SUMIF('Database '!$A$11:$A$22,A41,'Database '!$G$11:$G$22)*(1+Table2[[#This Row],[Growth Percentage]])^(Table2[[#Headers],[2033]]-YEAR(TODAY()))</f>
        <v>136817749.0125787</v>
      </c>
      <c r="J41" s="5">
        <f ca="1">SUMIF('Database '!$A$11:$A$22,A41,'Database '!$G$11:$G$22)*(1+Table2[[#This Row],[Growth Percentage]])^(Table2[[#Headers],[2034]]-YEAR(TODAY()))</f>
        <v>153235878.89408815</v>
      </c>
      <c r="K41" s="5">
        <f ca="1">SUMIF('Database '!$A$11:$A$22,A41,'Database '!$G$11:$G$22)*(1+Table2[[#This Row],[Growth Percentage]])^(Table2[[#Headers],[2035]]-YEAR(TODAY()))</f>
        <v>171624184.36137873</v>
      </c>
      <c r="L41" s="5">
        <f ca="1">SUMIF('Database '!$A$11:$A$22,A41,'Database '!$G$11:$G$22)*(1+Table2[[#This Row],[Growth Percentage]])^(Table2[[#Headers],[2036]]-YEAR(TODAY()))</f>
        <v>192219086.48474419</v>
      </c>
    </row>
    <row r="42" spans="1:12">
      <c r="A42" t="str">
        <f>'Database '!$A$16</f>
        <v>GOTO</v>
      </c>
      <c r="B42" s="11">
        <f>'Database '!B28</f>
        <v>0.06</v>
      </c>
      <c r="C42" s="5">
        <f ca="1">SUMIF('Database '!$A$11:$A$22,A42,'Database '!$G$11:$G$22)*(1+Table2[[#This Row],[Growth Percentage]])^(Table2[[#Headers],[2027]]-YEAR(TODAY()))</f>
        <v>4751182.3169280002</v>
      </c>
      <c r="D42" s="5">
        <f ca="1">SUMIF('Database '!$A$11:$A$22,A42,'Database '!$G$11:$G$22)*(1+Table2[[#This Row],[Growth Percentage]])^(Table2[[#Headers],[2028]]-YEAR(TODAY()))</f>
        <v>5036253.2559436802</v>
      </c>
      <c r="E42" s="5">
        <f ca="1">SUMIF('Database '!$A$11:$A$22,A42,'Database '!$G$11:$G$22)*(1+Table2[[#This Row],[Growth Percentage]])^(Table2[[#Headers],[2029]]-YEAR(TODAY()))</f>
        <v>5338428.4513003016</v>
      </c>
      <c r="F42" s="5">
        <f ca="1">SUMIF('Database '!$A$11:$A$22,A42,'Database '!$G$11:$G$22)*(1+Table2[[#This Row],[Growth Percentage]])^(Table2[[#Headers],[2030]]-YEAR(TODAY()))</f>
        <v>5658734.1583783198</v>
      </c>
      <c r="G42" s="5">
        <f ca="1">SUMIF('Database '!$A$11:$A$22,A42,'Database '!$G$11:$G$22)*(1+Table2[[#This Row],[Growth Percentage]])^(Table2[[#Headers],[2031]]-YEAR(TODAY()))</f>
        <v>5998258.2078810204</v>
      </c>
      <c r="H42" s="5">
        <f ca="1">SUMIF('Database '!$A$11:$A$22,A42,'Database '!$G$11:$G$22)*(1+Table2[[#This Row],[Growth Percentage]])^(Table2[[#Headers],[2032]]-YEAR(TODAY()))</f>
        <v>6358153.7003538813</v>
      </c>
      <c r="I42" s="5">
        <f ca="1">SUMIF('Database '!$A$11:$A$22,A42,'Database '!$G$11:$G$22)*(1+Table2[[#This Row],[Growth Percentage]])^(Table2[[#Headers],[2033]]-YEAR(TODAY()))</f>
        <v>6739642.9223751156</v>
      </c>
      <c r="J42" s="5">
        <f ca="1">SUMIF('Database '!$A$11:$A$22,A42,'Database '!$G$11:$G$22)*(1+Table2[[#This Row],[Growth Percentage]])^(Table2[[#Headers],[2034]]-YEAR(TODAY()))</f>
        <v>7144021.4977176217</v>
      </c>
      <c r="K42" s="5">
        <f ca="1">SUMIF('Database '!$A$11:$A$22,A42,'Database '!$G$11:$G$22)*(1+Table2[[#This Row],[Growth Percentage]])^(Table2[[#Headers],[2035]]-YEAR(TODAY()))</f>
        <v>7572662.7875806792</v>
      </c>
      <c r="L42" s="5">
        <f ca="1">SUMIF('Database '!$A$11:$A$22,A42,'Database '!$G$11:$G$22)*(1+Table2[[#This Row],[Growth Percentage]])^(Table2[[#Headers],[2036]]-YEAR(TODAY()))</f>
        <v>8027022.5548355207</v>
      </c>
    </row>
    <row r="43" spans="1:12">
      <c r="A43" t="str">
        <f>'Database '!$A$16</f>
        <v>GOTO</v>
      </c>
      <c r="B43" s="10">
        <f>'Database '!C28</f>
        <v>7.0000000000000007E-2</v>
      </c>
      <c r="C43" s="5">
        <f ca="1">SUMIF('Database '!$A$11:$A$22,A43,'Database '!$G$11:$G$22)*(1+Table2[[#This Row],[Growth Percentage]])^(Table2[[#Headers],[2027]]-YEAR(TODAY()))</f>
        <v>4796004.7916160002</v>
      </c>
      <c r="D43" s="5">
        <f ca="1">SUMIF('Database '!$A$11:$A$22,A43,'Database '!$G$11:$G$22)*(1+Table2[[#This Row],[Growth Percentage]])^(Table2[[#Headers],[2028]]-YEAR(TODAY()))</f>
        <v>5131725.12702912</v>
      </c>
      <c r="E43" s="5">
        <f ca="1">SUMIF('Database '!$A$11:$A$22,A43,'Database '!$G$11:$G$22)*(1+Table2[[#This Row],[Growth Percentage]])^(Table2[[#Headers],[2029]]-YEAR(TODAY()))</f>
        <v>5490945.8859211588</v>
      </c>
      <c r="F43" s="5">
        <f ca="1">SUMIF('Database '!$A$11:$A$22,A43,'Database '!$G$11:$G$22)*(1+Table2[[#This Row],[Growth Percentage]])^(Table2[[#Headers],[2030]]-YEAR(TODAY()))</f>
        <v>5875312.0979356393</v>
      </c>
      <c r="G43" s="5">
        <f ca="1">SUMIF('Database '!$A$11:$A$22,A43,'Database '!$G$11:$G$22)*(1+Table2[[#This Row],[Growth Percentage]])^(Table2[[#Headers],[2031]]-YEAR(TODAY()))</f>
        <v>6286583.9447911344</v>
      </c>
      <c r="H43" s="5">
        <f ca="1">SUMIF('Database '!$A$11:$A$22,A43,'Database '!$G$11:$G$22)*(1+Table2[[#This Row],[Growth Percentage]])^(Table2[[#Headers],[2032]]-YEAR(TODAY()))</f>
        <v>6726644.8209265135</v>
      </c>
      <c r="I43" s="5">
        <f ca="1">SUMIF('Database '!$A$11:$A$22,A43,'Database '!$G$11:$G$22)*(1+Table2[[#This Row],[Growth Percentage]])^(Table2[[#Headers],[2033]]-YEAR(TODAY()))</f>
        <v>7197509.9583913703</v>
      </c>
      <c r="J43" s="5">
        <f ca="1">SUMIF('Database '!$A$11:$A$22,A43,'Database '!$G$11:$G$22)*(1+Table2[[#This Row],[Growth Percentage]])^(Table2[[#Headers],[2034]]-YEAR(TODAY()))</f>
        <v>7701335.6554787662</v>
      </c>
      <c r="K43" s="5">
        <f ca="1">SUMIF('Database '!$A$11:$A$22,A43,'Database '!$G$11:$G$22)*(1+Table2[[#This Row],[Growth Percentage]])^(Table2[[#Headers],[2035]]-YEAR(TODAY()))</f>
        <v>8240429.1513622804</v>
      </c>
      <c r="L43" s="5">
        <f ca="1">SUMIF('Database '!$A$11:$A$22,A43,'Database '!$G$11:$G$22)*(1+Table2[[#This Row],[Growth Percentage]])^(Table2[[#Headers],[2036]]-YEAR(TODAY()))</f>
        <v>8817259.1919576395</v>
      </c>
    </row>
    <row r="44" spans="1:12">
      <c r="A44" t="str">
        <f>'Database '!$A$16</f>
        <v>GOTO</v>
      </c>
      <c r="B44" s="11">
        <f>'Database '!D28</f>
        <v>0.08</v>
      </c>
      <c r="C44" s="5">
        <f ca="1">SUMIF('Database '!$A$11:$A$22,A44,'Database '!$G$11:$G$22)*(1+Table2[[#This Row],[Growth Percentage]])^(Table2[[#Headers],[2027]]-YEAR(TODAY()))</f>
        <v>4840827.2663040003</v>
      </c>
      <c r="D44" s="5">
        <f ca="1">SUMIF('Database '!$A$11:$A$22,A44,'Database '!$G$11:$G$22)*(1+Table2[[#This Row],[Growth Percentage]])^(Table2[[#Headers],[2028]]-YEAR(TODAY()))</f>
        <v>5228093.44760832</v>
      </c>
      <c r="E44" s="5">
        <f ca="1">SUMIF('Database '!$A$11:$A$22,A44,'Database '!$G$11:$G$22)*(1+Table2[[#This Row],[Growth Percentage]])^(Table2[[#Headers],[2029]]-YEAR(TODAY()))</f>
        <v>5646340.9234169861</v>
      </c>
      <c r="F44" s="5">
        <f ca="1">SUMIF('Database '!$A$11:$A$22,A44,'Database '!$G$11:$G$22)*(1+Table2[[#This Row],[Growth Percentage]])^(Table2[[#Headers],[2030]]-YEAR(TODAY()))</f>
        <v>6098048.197290346</v>
      </c>
      <c r="G44" s="5">
        <f ca="1">SUMIF('Database '!$A$11:$A$22,A44,'Database '!$G$11:$G$22)*(1+Table2[[#This Row],[Growth Percentage]])^(Table2[[#Headers],[2031]]-YEAR(TODAY()))</f>
        <v>6585892.0530735729</v>
      </c>
      <c r="H44" s="5">
        <f ca="1">SUMIF('Database '!$A$11:$A$22,A44,'Database '!$G$11:$G$22)*(1+Table2[[#This Row],[Growth Percentage]])^(Table2[[#Headers],[2032]]-YEAR(TODAY()))</f>
        <v>7112763.4173194598</v>
      </c>
      <c r="I44" s="5">
        <f ca="1">SUMIF('Database '!$A$11:$A$22,A44,'Database '!$G$11:$G$22)*(1+Table2[[#This Row],[Growth Percentage]])^(Table2[[#Headers],[2033]]-YEAR(TODAY()))</f>
        <v>7681784.490705017</v>
      </c>
      <c r="J44" s="5">
        <f ca="1">SUMIF('Database '!$A$11:$A$22,A44,'Database '!$G$11:$G$22)*(1+Table2[[#This Row],[Growth Percentage]])^(Table2[[#Headers],[2034]]-YEAR(TODAY()))</f>
        <v>8296327.249961419</v>
      </c>
      <c r="K44" s="5">
        <f ca="1">SUMIF('Database '!$A$11:$A$22,A44,'Database '!$G$11:$G$22)*(1+Table2[[#This Row],[Growth Percentage]])^(Table2[[#Headers],[2035]]-YEAR(TODAY()))</f>
        <v>8960033.4299583323</v>
      </c>
      <c r="L44" s="5">
        <f ca="1">SUMIF('Database '!$A$11:$A$22,A44,'Database '!$G$11:$G$22)*(1+Table2[[#This Row],[Growth Percentage]])^(Table2[[#Headers],[2036]]-YEAR(TODAY()))</f>
        <v>9676836.104355</v>
      </c>
    </row>
    <row r="45" spans="1:12">
      <c r="A45" t="str">
        <f>'Database '!$A$16</f>
        <v>GOTO</v>
      </c>
      <c r="B45" s="10">
        <f>'Database '!E28</f>
        <v>0.09</v>
      </c>
      <c r="C45" s="5">
        <f ca="1">SUMIF('Database '!$A$11:$A$22,A45,'Database '!$G$11:$G$22)*(1+Table2[[#This Row],[Growth Percentage]])^(Table2[[#Headers],[2027]]-YEAR(TODAY()))</f>
        <v>4885649.7409920003</v>
      </c>
      <c r="D45" s="5">
        <f ca="1">SUMIF('Database '!$A$11:$A$22,A45,'Database '!$G$11:$G$22)*(1+Table2[[#This Row],[Growth Percentage]])^(Table2[[#Headers],[2028]]-YEAR(TODAY()))</f>
        <v>5325358.2176812803</v>
      </c>
      <c r="E45" s="5">
        <f ca="1">SUMIF('Database '!$A$11:$A$22,A45,'Database '!$G$11:$G$22)*(1+Table2[[#This Row],[Growth Percentage]])^(Table2[[#Headers],[2029]]-YEAR(TODAY()))</f>
        <v>5804640.4572725957</v>
      </c>
      <c r="F45" s="5">
        <f ca="1">SUMIF('Database '!$A$11:$A$22,A45,'Database '!$G$11:$G$22)*(1+Table2[[#This Row],[Growth Percentage]])^(Table2[[#Headers],[2030]]-YEAR(TODAY()))</f>
        <v>6327058.0984271299</v>
      </c>
      <c r="G45" s="5">
        <f ca="1">SUMIF('Database '!$A$11:$A$22,A45,'Database '!$G$11:$G$22)*(1+Table2[[#This Row],[Growth Percentage]])^(Table2[[#Headers],[2031]]-YEAR(TODAY()))</f>
        <v>6896493.327285572</v>
      </c>
      <c r="H45" s="5">
        <f ca="1">SUMIF('Database '!$A$11:$A$22,A45,'Database '!$G$11:$G$22)*(1+Table2[[#This Row],[Growth Percentage]])^(Table2[[#Headers],[2032]]-YEAR(TODAY()))</f>
        <v>7517177.7267412748</v>
      </c>
      <c r="I45" s="5">
        <f ca="1">SUMIF('Database '!$A$11:$A$22,A45,'Database '!$G$11:$G$22)*(1+Table2[[#This Row],[Growth Percentage]])^(Table2[[#Headers],[2033]]-YEAR(TODAY()))</f>
        <v>8193723.7221479891</v>
      </c>
      <c r="J45" s="5">
        <f ca="1">SUMIF('Database '!$A$11:$A$22,A45,'Database '!$G$11:$G$22)*(1+Table2[[#This Row],[Growth Percentage]])^(Table2[[#Headers],[2034]]-YEAR(TODAY()))</f>
        <v>8931158.8571413085</v>
      </c>
      <c r="K45" s="5">
        <f ca="1">SUMIF('Database '!$A$11:$A$22,A45,'Database '!$G$11:$G$22)*(1+Table2[[#This Row],[Growth Percentage]])^(Table2[[#Headers],[2035]]-YEAR(TODAY()))</f>
        <v>9734963.1542840265</v>
      </c>
      <c r="L45" s="5">
        <f ca="1">SUMIF('Database '!$A$11:$A$22,A45,'Database '!$G$11:$G$22)*(1+Table2[[#This Row],[Growth Percentage]])^(Table2[[#Headers],[2036]]-YEAR(TODAY()))</f>
        <v>10611109.838169592</v>
      </c>
    </row>
    <row r="46" spans="1:12">
      <c r="A46" t="str">
        <f>'Database '!$A$16</f>
        <v>GOTO</v>
      </c>
      <c r="B46" s="11">
        <f>'Database '!F28</f>
        <v>9.5000000000000001E-2</v>
      </c>
      <c r="C46" s="5">
        <f ca="1">SUMIF('Database '!$A$11:$A$22,A46,'Database '!$G$11:$G$22)*(1+Table2[[#This Row],[Growth Percentage]])^(Table2[[#Headers],[2027]]-YEAR(TODAY()))</f>
        <v>4908060.9783359999</v>
      </c>
      <c r="D46" s="5">
        <f ca="1">SUMIF('Database '!$A$11:$A$22,A46,'Database '!$G$11:$G$22)*(1+Table2[[#This Row],[Growth Percentage]])^(Table2[[#Headers],[2028]]-YEAR(TODAY()))</f>
        <v>5374326.7712779203</v>
      </c>
      <c r="E46" s="5">
        <f ca="1">SUMIF('Database '!$A$11:$A$22,A46,'Database '!$G$11:$G$22)*(1+Table2[[#This Row],[Growth Percentage]])^(Table2[[#Headers],[2029]]-YEAR(TODAY()))</f>
        <v>5884887.8145493222</v>
      </c>
      <c r="F46" s="5">
        <f ca="1">SUMIF('Database '!$A$11:$A$22,A46,'Database '!$G$11:$G$22)*(1+Table2[[#This Row],[Growth Percentage]])^(Table2[[#Headers],[2030]]-YEAR(TODAY()))</f>
        <v>6443952.1569315074</v>
      </c>
      <c r="G46" s="5">
        <f ca="1">SUMIF('Database '!$A$11:$A$22,A46,'Database '!$G$11:$G$22)*(1+Table2[[#This Row],[Growth Percentage]])^(Table2[[#Headers],[2031]]-YEAR(TODAY()))</f>
        <v>7056127.6118400013</v>
      </c>
      <c r="H46" s="5">
        <f ca="1">SUMIF('Database '!$A$11:$A$22,A46,'Database '!$G$11:$G$22)*(1+Table2[[#This Row],[Growth Percentage]])^(Table2[[#Headers],[2032]]-YEAR(TODAY()))</f>
        <v>7726459.7349648019</v>
      </c>
      <c r="I46" s="5">
        <f ca="1">SUMIF('Database '!$A$11:$A$22,A46,'Database '!$G$11:$G$22)*(1+Table2[[#This Row],[Growth Percentage]])^(Table2[[#Headers],[2033]]-YEAR(TODAY()))</f>
        <v>8460473.4097864572</v>
      </c>
      <c r="J46" s="5">
        <f ca="1">SUMIF('Database '!$A$11:$A$22,A46,'Database '!$G$11:$G$22)*(1+Table2[[#This Row],[Growth Percentage]])^(Table2[[#Headers],[2034]]-YEAR(TODAY()))</f>
        <v>9264218.3837161716</v>
      </c>
      <c r="K46" s="5">
        <f ca="1">SUMIF('Database '!$A$11:$A$22,A46,'Database '!$G$11:$G$22)*(1+Table2[[#This Row],[Growth Percentage]])^(Table2[[#Headers],[2035]]-YEAR(TODAY()))</f>
        <v>10144319.130169207</v>
      </c>
      <c r="L46" s="5">
        <f ca="1">SUMIF('Database '!$A$11:$A$22,A46,'Database '!$G$11:$G$22)*(1+Table2[[#This Row],[Growth Percentage]])^(Table2[[#Headers],[2036]]-YEAR(TODAY()))</f>
        <v>11108029.447535282</v>
      </c>
    </row>
    <row r="47" spans="1:12">
      <c r="A47" t="str">
        <f>'Database '!$A$16</f>
        <v>GOTO</v>
      </c>
      <c r="B47" s="10">
        <f>'Database '!G28</f>
        <v>0.1</v>
      </c>
      <c r="C47" s="5">
        <f ca="1">SUMIF('Database '!$A$11:$A$22,A47,'Database '!$G$11:$G$22)*(1+Table2[[#This Row],[Growth Percentage]])^(Table2[[#Headers],[2027]]-YEAR(TODAY()))</f>
        <v>4930472.2156800004</v>
      </c>
      <c r="D47" s="5">
        <f ca="1">SUMIF('Database '!$A$11:$A$22,A47,'Database '!$G$11:$G$22)*(1+Table2[[#This Row],[Growth Percentage]])^(Table2[[#Headers],[2028]]-YEAR(TODAY()))</f>
        <v>5423519.4372480009</v>
      </c>
      <c r="E47" s="5">
        <f ca="1">SUMIF('Database '!$A$11:$A$22,A47,'Database '!$G$11:$G$22)*(1+Table2[[#This Row],[Growth Percentage]])^(Table2[[#Headers],[2029]]-YEAR(TODAY()))</f>
        <v>5965871.3809728017</v>
      </c>
      <c r="F47" s="5">
        <f ca="1">SUMIF('Database '!$A$11:$A$22,A47,'Database '!$G$11:$G$22)*(1+Table2[[#This Row],[Growth Percentage]])^(Table2[[#Headers],[2030]]-YEAR(TODAY()))</f>
        <v>6562458.5190700814</v>
      </c>
      <c r="G47" s="5">
        <f ca="1">SUMIF('Database '!$A$11:$A$22,A47,'Database '!$G$11:$G$22)*(1+Table2[[#This Row],[Growth Percentage]])^(Table2[[#Headers],[2031]]-YEAR(TODAY()))</f>
        <v>7218704.3709770907</v>
      </c>
      <c r="H47" s="5">
        <f ca="1">SUMIF('Database '!$A$11:$A$22,A47,'Database '!$G$11:$G$22)*(1+Table2[[#This Row],[Growth Percentage]])^(Table2[[#Headers],[2032]]-YEAR(TODAY()))</f>
        <v>7940574.8080748003</v>
      </c>
      <c r="I47" s="5">
        <f ca="1">SUMIF('Database '!$A$11:$A$22,A47,'Database '!$G$11:$G$22)*(1+Table2[[#This Row],[Growth Percentage]])^(Table2[[#Headers],[2033]]-YEAR(TODAY()))</f>
        <v>8734632.2888822816</v>
      </c>
      <c r="J47" s="5">
        <f ca="1">SUMIF('Database '!$A$11:$A$22,A47,'Database '!$G$11:$G$22)*(1+Table2[[#This Row],[Growth Percentage]])^(Table2[[#Headers],[2034]]-YEAR(TODAY()))</f>
        <v>9608095.5177705083</v>
      </c>
      <c r="K47" s="5">
        <f ca="1">SUMIF('Database '!$A$11:$A$22,A47,'Database '!$G$11:$G$22)*(1+Table2[[#This Row],[Growth Percentage]])^(Table2[[#Headers],[2035]]-YEAR(TODAY()))</f>
        <v>10568905.06954756</v>
      </c>
      <c r="L47" s="5">
        <f ca="1">SUMIF('Database '!$A$11:$A$22,A47,'Database '!$G$11:$G$22)*(1+Table2[[#This Row],[Growth Percentage]])^(Table2[[#Headers],[2036]]-YEAR(TODAY()))</f>
        <v>11625795.576502318</v>
      </c>
    </row>
    <row r="48" spans="1:12">
      <c r="A48" t="str">
        <f>'Database '!$A$16</f>
        <v>GOTO</v>
      </c>
      <c r="B48" s="10">
        <f>'Database '!H28</f>
        <v>0.11</v>
      </c>
      <c r="C48" s="5">
        <f ca="1">SUMIF('Database '!$A$11:$A$22,A48,'Database '!$G$11:$G$22)*(1+Table2[[#This Row],[Growth Percentage]])^(Table2[[#Headers],[2027]]-YEAR(TODAY()))</f>
        <v>4975294.6903680004</v>
      </c>
      <c r="D48" s="5">
        <f ca="1">SUMIF('Database '!$A$11:$A$22,A48,'Database '!$G$11:$G$22)*(1+Table2[[#This Row],[Growth Percentage]])^(Table2[[#Headers],[2028]]-YEAR(TODAY()))</f>
        <v>5522577.1063084807</v>
      </c>
      <c r="E48" s="5">
        <f ca="1">SUMIF('Database '!$A$11:$A$22,A48,'Database '!$G$11:$G$22)*(1+Table2[[#This Row],[Growth Percentage]])^(Table2[[#Headers],[2029]]-YEAR(TODAY()))</f>
        <v>6130060.5880024135</v>
      </c>
      <c r="F48" s="5">
        <f ca="1">SUMIF('Database '!$A$11:$A$22,A48,'Database '!$G$11:$G$22)*(1+Table2[[#This Row],[Growth Percentage]])^(Table2[[#Headers],[2030]]-YEAR(TODAY()))</f>
        <v>6804367.2526826803</v>
      </c>
      <c r="G48" s="5">
        <f ca="1">SUMIF('Database '!$A$11:$A$22,A48,'Database '!$G$11:$G$22)*(1+Table2[[#This Row],[Growth Percentage]])^(Table2[[#Headers],[2031]]-YEAR(TODAY()))</f>
        <v>7552847.6504777754</v>
      </c>
      <c r="H48" s="5">
        <f ca="1">SUMIF('Database '!$A$11:$A$22,A48,'Database '!$G$11:$G$22)*(1+Table2[[#This Row],[Growth Percentage]])^(Table2[[#Headers],[2032]]-YEAR(TODAY()))</f>
        <v>8383660.8920303313</v>
      </c>
      <c r="I48" s="5">
        <f ca="1">SUMIF('Database '!$A$11:$A$22,A48,'Database '!$G$11:$G$22)*(1+Table2[[#This Row],[Growth Percentage]])^(Table2[[#Headers],[2033]]-YEAR(TODAY()))</f>
        <v>9305863.5901536681</v>
      </c>
      <c r="J48" s="5">
        <f ca="1">SUMIF('Database '!$A$11:$A$22,A48,'Database '!$G$11:$G$22)*(1+Table2[[#This Row],[Growth Percentage]])^(Table2[[#Headers],[2034]]-YEAR(TODAY()))</f>
        <v>10329508.585070573</v>
      </c>
      <c r="K48" s="5">
        <f ca="1">SUMIF('Database '!$A$11:$A$22,A48,'Database '!$G$11:$G$22)*(1+Table2[[#This Row],[Growth Percentage]])^(Table2[[#Headers],[2035]]-YEAR(TODAY()))</f>
        <v>11465754.529428337</v>
      </c>
      <c r="L48" s="5">
        <f ca="1">SUMIF('Database '!$A$11:$A$22,A48,'Database '!$G$11:$G$22)*(1+Table2[[#This Row],[Growth Percentage]])^(Table2[[#Headers],[2036]]-YEAR(TODAY()))</f>
        <v>12726987.527665457</v>
      </c>
    </row>
    <row r="49" spans="1:12">
      <c r="A49" t="str">
        <f>'Database '!$A$16</f>
        <v>GOTO</v>
      </c>
      <c r="B49" s="10">
        <f>'Database '!I28</f>
        <v>0.12</v>
      </c>
      <c r="C49" s="5">
        <f ca="1">SUMIF('Database '!$A$11:$A$22,A49,'Database '!$G$11:$G$22)*(1+Table2[[#This Row],[Growth Percentage]])^(Table2[[#Headers],[2027]]-YEAR(TODAY()))</f>
        <v>5020117.1650560005</v>
      </c>
      <c r="D49" s="5">
        <f ca="1">SUMIF('Database '!$A$11:$A$22,A49,'Database '!$G$11:$G$22)*(1+Table2[[#This Row],[Growth Percentage]])^(Table2[[#Headers],[2028]]-YEAR(TODAY()))</f>
        <v>5622531.2248627208</v>
      </c>
      <c r="E49" s="5">
        <f ca="1">SUMIF('Database '!$A$11:$A$22,A49,'Database '!$G$11:$G$22)*(1+Table2[[#This Row],[Growth Percentage]])^(Table2[[#Headers],[2029]]-YEAR(TODAY()))</f>
        <v>6297234.971846248</v>
      </c>
      <c r="F49" s="5">
        <f ca="1">SUMIF('Database '!$A$11:$A$22,A49,'Database '!$G$11:$G$22)*(1+Table2[[#This Row],[Growth Percentage]])^(Table2[[#Headers],[2030]]-YEAR(TODAY()))</f>
        <v>7052903.1684677973</v>
      </c>
      <c r="G49" s="5">
        <f ca="1">SUMIF('Database '!$A$11:$A$22,A49,'Database '!$G$11:$G$22)*(1+Table2[[#This Row],[Growth Percentage]])^(Table2[[#Headers],[2031]]-YEAR(TODAY()))</f>
        <v>7899251.5486839339</v>
      </c>
      <c r="H49" s="5">
        <f ca="1">SUMIF('Database '!$A$11:$A$22,A49,'Database '!$G$11:$G$22)*(1+Table2[[#This Row],[Growth Percentage]])^(Table2[[#Headers],[2032]]-YEAR(TODAY()))</f>
        <v>8847161.7345260065</v>
      </c>
      <c r="I49" s="5">
        <f ca="1">SUMIF('Database '!$A$11:$A$22,A49,'Database '!$G$11:$G$22)*(1+Table2[[#This Row],[Growth Percentage]])^(Table2[[#Headers],[2033]]-YEAR(TODAY()))</f>
        <v>9908821.1426691283</v>
      </c>
      <c r="J49" s="5">
        <f ca="1">SUMIF('Database '!$A$11:$A$22,A49,'Database '!$G$11:$G$22)*(1+Table2[[#This Row],[Growth Percentage]])^(Table2[[#Headers],[2034]]-YEAR(TODAY()))</f>
        <v>11097879.679789424</v>
      </c>
      <c r="K49" s="5">
        <f ca="1">SUMIF('Database '!$A$11:$A$22,A49,'Database '!$G$11:$G$22)*(1+Table2[[#This Row],[Growth Percentage]])^(Table2[[#Headers],[2035]]-YEAR(TODAY()))</f>
        <v>12429625.241364155</v>
      </c>
      <c r="L49" s="5">
        <f ca="1">SUMIF('Database '!$A$11:$A$22,A49,'Database '!$G$11:$G$22)*(1+Table2[[#This Row],[Growth Percentage]])^(Table2[[#Headers],[2036]]-YEAR(TODAY()))</f>
        <v>13921180.270327855</v>
      </c>
    </row>
    <row r="50" spans="1:12">
      <c r="A50" t="str">
        <f>'Database '!$A$17</f>
        <v>ICBP</v>
      </c>
      <c r="B50" s="11">
        <f>'Database '!B28</f>
        <v>0.06</v>
      </c>
      <c r="C50" s="5">
        <f ca="1">SUMIF('Database '!$A$11:$A$22,A50,'Database '!$G$11:$G$22)*(1+Table2[[#This Row],[Growth Percentage]])^(Table2[[#Headers],[2027]]-YEAR(TODAY()))</f>
        <v>76293350.527280003</v>
      </c>
      <c r="D50" s="5">
        <f ca="1">SUMIF('Database '!$A$11:$A$22,A50,'Database '!$G$11:$G$22)*(1+Table2[[#This Row],[Growth Percentage]])^(Table2[[#Headers],[2028]]-YEAR(TODAY()))</f>
        <v>80870951.558916822</v>
      </c>
      <c r="E50" s="5">
        <f ca="1">SUMIF('Database '!$A$11:$A$22,A50,'Database '!$G$11:$G$22)*(1+Table2[[#This Row],[Growth Percentage]])^(Table2[[#Headers],[2029]]-YEAR(TODAY()))</f>
        <v>85723208.652451843</v>
      </c>
      <c r="F50" s="5">
        <f ca="1">SUMIF('Database '!$A$11:$A$22,A50,'Database '!$G$11:$G$22)*(1+Table2[[#This Row],[Growth Percentage]])^(Table2[[#Headers],[2030]]-YEAR(TODAY()))</f>
        <v>90866601.171598941</v>
      </c>
      <c r="G50" s="5">
        <f ca="1">SUMIF('Database '!$A$11:$A$22,A50,'Database '!$G$11:$G$22)*(1+Table2[[#This Row],[Growth Percentage]])^(Table2[[#Headers],[2031]]-YEAR(TODAY()))</f>
        <v>96318597.241894901</v>
      </c>
      <c r="H50" s="5">
        <f ca="1">SUMIF('Database '!$A$11:$A$22,A50,'Database '!$G$11:$G$22)*(1+Table2[[#This Row],[Growth Percentage]])^(Table2[[#Headers],[2032]]-YEAR(TODAY()))</f>
        <v>102097713.07640859</v>
      </c>
      <c r="I50" s="5">
        <f ca="1">SUMIF('Database '!$A$11:$A$22,A50,'Database '!$G$11:$G$22)*(1+Table2[[#This Row],[Growth Percentage]])^(Table2[[#Headers],[2033]]-YEAR(TODAY()))</f>
        <v>108223575.86099312</v>
      </c>
      <c r="J50" s="5">
        <f ca="1">SUMIF('Database '!$A$11:$A$22,A50,'Database '!$G$11:$G$22)*(1+Table2[[#This Row],[Growth Percentage]])^(Table2[[#Headers],[2034]]-YEAR(TODAY()))</f>
        <v>114716990.4126527</v>
      </c>
      <c r="K50" s="5">
        <f ca="1">SUMIF('Database '!$A$11:$A$22,A50,'Database '!$G$11:$G$22)*(1+Table2[[#This Row],[Growth Percentage]])^(Table2[[#Headers],[2035]]-YEAR(TODAY()))</f>
        <v>121600009.83741187</v>
      </c>
      <c r="L50" s="5">
        <f ca="1">SUMIF('Database '!$A$11:$A$22,A50,'Database '!$G$11:$G$22)*(1+Table2[[#This Row],[Growth Percentage]])^(Table2[[#Headers],[2036]]-YEAR(TODAY()))</f>
        <v>128896010.42765659</v>
      </c>
    </row>
    <row r="51" spans="1:12">
      <c r="A51" t="str">
        <f>'Database '!$A$17</f>
        <v>ICBP</v>
      </c>
      <c r="B51" s="10">
        <f>'Database '!C28</f>
        <v>7.0000000000000007E-2</v>
      </c>
      <c r="C51" s="5">
        <f ca="1">SUMIF('Database '!$A$11:$A$22,A51,'Database '!$G$11:$G$22)*(1+Table2[[#This Row],[Growth Percentage]])^(Table2[[#Headers],[2027]]-YEAR(TODAY()))</f>
        <v>77013099.117160007</v>
      </c>
      <c r="D51" s="5">
        <f ca="1">SUMIF('Database '!$A$11:$A$22,A51,'Database '!$G$11:$G$22)*(1+Table2[[#This Row],[Growth Percentage]])^(Table2[[#Headers],[2028]]-YEAR(TODAY()))</f>
        <v>82404016.055361211</v>
      </c>
      <c r="E51" s="5">
        <f ca="1">SUMIF('Database '!$A$11:$A$22,A51,'Database '!$G$11:$G$22)*(1+Table2[[#This Row],[Growth Percentage]])^(Table2[[#Headers],[2029]]-YEAR(TODAY()))</f>
        <v>88172297.179236501</v>
      </c>
      <c r="F51" s="5">
        <f ca="1">SUMIF('Database '!$A$11:$A$22,A51,'Database '!$G$11:$G$22)*(1+Table2[[#This Row],[Growth Percentage]])^(Table2[[#Headers],[2030]]-YEAR(TODAY()))</f>
        <v>94344357.981783047</v>
      </c>
      <c r="G51" s="5">
        <f ca="1">SUMIF('Database '!$A$11:$A$22,A51,'Database '!$G$11:$G$22)*(1+Table2[[#This Row],[Growth Percentage]])^(Table2[[#Headers],[2031]]-YEAR(TODAY()))</f>
        <v>100948463.04050787</v>
      </c>
      <c r="H51" s="5">
        <f ca="1">SUMIF('Database '!$A$11:$A$22,A51,'Database '!$G$11:$G$22)*(1+Table2[[#This Row],[Growth Percentage]])^(Table2[[#Headers],[2032]]-YEAR(TODAY()))</f>
        <v>108014855.45334341</v>
      </c>
      <c r="I51" s="5">
        <f ca="1">SUMIF('Database '!$A$11:$A$22,A51,'Database '!$G$11:$G$22)*(1+Table2[[#This Row],[Growth Percentage]])^(Table2[[#Headers],[2033]]-YEAR(TODAY()))</f>
        <v>115575895.33507746</v>
      </c>
      <c r="J51" s="5">
        <f ca="1">SUMIF('Database '!$A$11:$A$22,A51,'Database '!$G$11:$G$22)*(1+Table2[[#This Row],[Growth Percentage]])^(Table2[[#Headers],[2034]]-YEAR(TODAY()))</f>
        <v>123666208.00853288</v>
      </c>
      <c r="K51" s="5">
        <f ca="1">SUMIF('Database '!$A$11:$A$22,A51,'Database '!$G$11:$G$22)*(1+Table2[[#This Row],[Growth Percentage]])^(Table2[[#Headers],[2035]]-YEAR(TODAY()))</f>
        <v>132322842.5691302</v>
      </c>
      <c r="L51" s="5">
        <f ca="1">SUMIF('Database '!$A$11:$A$22,A51,'Database '!$G$11:$G$22)*(1+Table2[[#This Row],[Growth Percentage]])^(Table2[[#Headers],[2036]]-YEAR(TODAY()))</f>
        <v>141585441.5489693</v>
      </c>
    </row>
    <row r="52" spans="1:12">
      <c r="A52" t="str">
        <f>'Database '!$A$17</f>
        <v>ICBP</v>
      </c>
      <c r="B52" s="11">
        <f>'Database '!D28</f>
        <v>0.08</v>
      </c>
      <c r="C52" s="5">
        <f ca="1">SUMIF('Database '!$A$11:$A$22,A52,'Database '!$G$11:$G$22)*(1+Table2[[#This Row],[Growth Percentage]])^(Table2[[#Headers],[2027]]-YEAR(TODAY()))</f>
        <v>77732847.707040012</v>
      </c>
      <c r="D52" s="5">
        <f ca="1">SUMIF('Database '!$A$11:$A$22,A52,'Database '!$G$11:$G$22)*(1+Table2[[#This Row],[Growth Percentage]])^(Table2[[#Headers],[2028]]-YEAR(TODAY()))</f>
        <v>83951475.523603216</v>
      </c>
      <c r="E52" s="5">
        <f ca="1">SUMIF('Database '!$A$11:$A$22,A52,'Database '!$G$11:$G$22)*(1+Table2[[#This Row],[Growth Percentage]])^(Table2[[#Headers],[2029]]-YEAR(TODAY()))</f>
        <v>90667593.565491468</v>
      </c>
      <c r="F52" s="5">
        <f ca="1">SUMIF('Database '!$A$11:$A$22,A52,'Database '!$G$11:$G$22)*(1+Table2[[#This Row],[Growth Percentage]])^(Table2[[#Headers],[2030]]-YEAR(TODAY()))</f>
        <v>97921001.050730795</v>
      </c>
      <c r="G52" s="5">
        <f ca="1">SUMIF('Database '!$A$11:$A$22,A52,'Database '!$G$11:$G$22)*(1+Table2[[#This Row],[Growth Percentage]])^(Table2[[#Headers],[2031]]-YEAR(TODAY()))</f>
        <v>105754681.13478927</v>
      </c>
      <c r="H52" s="5">
        <f ca="1">SUMIF('Database '!$A$11:$A$22,A52,'Database '!$G$11:$G$22)*(1+Table2[[#This Row],[Growth Percentage]])^(Table2[[#Headers],[2032]]-YEAR(TODAY()))</f>
        <v>114215055.62557243</v>
      </c>
      <c r="I52" s="5">
        <f ca="1">SUMIF('Database '!$A$11:$A$22,A52,'Database '!$G$11:$G$22)*(1+Table2[[#This Row],[Growth Percentage]])^(Table2[[#Headers],[2033]]-YEAR(TODAY()))</f>
        <v>123352260.07561822</v>
      </c>
      <c r="J52" s="5">
        <f ca="1">SUMIF('Database '!$A$11:$A$22,A52,'Database '!$G$11:$G$22)*(1+Table2[[#This Row],[Growth Percentage]])^(Table2[[#Headers],[2034]]-YEAR(TODAY()))</f>
        <v>133220440.88166767</v>
      </c>
      <c r="K52" s="5">
        <f ca="1">SUMIF('Database '!$A$11:$A$22,A52,'Database '!$G$11:$G$22)*(1+Table2[[#This Row],[Growth Percentage]])^(Table2[[#Headers],[2035]]-YEAR(TODAY()))</f>
        <v>143878076.15220112</v>
      </c>
      <c r="L52" s="5">
        <f ca="1">SUMIF('Database '!$A$11:$A$22,A52,'Database '!$G$11:$G$22)*(1+Table2[[#This Row],[Growth Percentage]])^(Table2[[#Headers],[2036]]-YEAR(TODAY()))</f>
        <v>155388322.2443772</v>
      </c>
    </row>
    <row r="53" spans="1:12">
      <c r="A53" t="str">
        <f>'Database '!$A$17</f>
        <v>ICBP</v>
      </c>
      <c r="B53" s="10">
        <f>'Database '!E28</f>
        <v>0.09</v>
      </c>
      <c r="C53" s="5">
        <f ca="1">SUMIF('Database '!$A$11:$A$22,A53,'Database '!$G$11:$G$22)*(1+Table2[[#This Row],[Growth Percentage]])^(Table2[[#Headers],[2027]]-YEAR(TODAY()))</f>
        <v>78452596.296920016</v>
      </c>
      <c r="D53" s="5">
        <f ca="1">SUMIF('Database '!$A$11:$A$22,A53,'Database '!$G$11:$G$22)*(1+Table2[[#This Row],[Growth Percentage]])^(Table2[[#Headers],[2028]]-YEAR(TODAY()))</f>
        <v>85513329.963642821</v>
      </c>
      <c r="E53" s="5">
        <f ca="1">SUMIF('Database '!$A$11:$A$22,A53,'Database '!$G$11:$G$22)*(1+Table2[[#This Row],[Growth Percentage]])^(Table2[[#Headers],[2029]]-YEAR(TODAY()))</f>
        <v>93209529.660370678</v>
      </c>
      <c r="F53" s="5">
        <f ca="1">SUMIF('Database '!$A$11:$A$22,A53,'Database '!$G$11:$G$22)*(1+Table2[[#This Row],[Growth Percentage]])^(Table2[[#Headers],[2030]]-YEAR(TODAY()))</f>
        <v>101598387.32980403</v>
      </c>
      <c r="G53" s="5">
        <f ca="1">SUMIF('Database '!$A$11:$A$22,A53,'Database '!$G$11:$G$22)*(1+Table2[[#This Row],[Growth Percentage]])^(Table2[[#Headers],[2031]]-YEAR(TODAY()))</f>
        <v>110742242.18948641</v>
      </c>
      <c r="H53" s="5">
        <f ca="1">SUMIF('Database '!$A$11:$A$22,A53,'Database '!$G$11:$G$22)*(1+Table2[[#This Row],[Growth Percentage]])^(Table2[[#Headers],[2032]]-YEAR(TODAY()))</f>
        <v>120709043.9865402</v>
      </c>
      <c r="I53" s="5">
        <f ca="1">SUMIF('Database '!$A$11:$A$22,A53,'Database '!$G$11:$G$22)*(1+Table2[[#This Row],[Growth Percentage]])^(Table2[[#Headers],[2033]]-YEAR(TODAY()))</f>
        <v>131572857.94532882</v>
      </c>
      <c r="J53" s="5">
        <f ca="1">SUMIF('Database '!$A$11:$A$22,A53,'Database '!$G$11:$G$22)*(1+Table2[[#This Row],[Growth Percentage]])^(Table2[[#Headers],[2034]]-YEAR(TODAY()))</f>
        <v>143414415.16040841</v>
      </c>
      <c r="K53" s="5">
        <f ca="1">SUMIF('Database '!$A$11:$A$22,A53,'Database '!$G$11:$G$22)*(1+Table2[[#This Row],[Growth Percentage]])^(Table2[[#Headers],[2035]]-YEAR(TODAY()))</f>
        <v>156321712.52484518</v>
      </c>
      <c r="L53" s="5">
        <f ca="1">SUMIF('Database '!$A$11:$A$22,A53,'Database '!$G$11:$G$22)*(1+Table2[[#This Row],[Growth Percentage]])^(Table2[[#Headers],[2036]]-YEAR(TODAY()))</f>
        <v>170390666.65208128</v>
      </c>
    </row>
    <row r="54" spans="1:12">
      <c r="A54" t="str">
        <f>'Database '!$A$17</f>
        <v>ICBP</v>
      </c>
      <c r="B54" s="11">
        <f>'Database '!F28</f>
        <v>9.5000000000000001E-2</v>
      </c>
      <c r="C54" s="5">
        <f ca="1">SUMIF('Database '!$A$11:$A$22,A54,'Database '!$G$11:$G$22)*(1+Table2[[#This Row],[Growth Percentage]])^(Table2[[#Headers],[2027]]-YEAR(TODAY()))</f>
        <v>78812470.591860011</v>
      </c>
      <c r="D54" s="5">
        <f ca="1">SUMIF('Database '!$A$11:$A$22,A54,'Database '!$G$11:$G$22)*(1+Table2[[#This Row],[Growth Percentage]])^(Table2[[#Headers],[2028]]-YEAR(TODAY()))</f>
        <v>86299655.298086703</v>
      </c>
      <c r="E54" s="5">
        <f ca="1">SUMIF('Database '!$A$11:$A$22,A54,'Database '!$G$11:$G$22)*(1+Table2[[#This Row],[Growth Percentage]])^(Table2[[#Headers],[2029]]-YEAR(TODAY()))</f>
        <v>94498122.551404938</v>
      </c>
      <c r="F54" s="5">
        <f ca="1">SUMIF('Database '!$A$11:$A$22,A54,'Database '!$G$11:$G$22)*(1+Table2[[#This Row],[Growth Percentage]])^(Table2[[#Headers],[2030]]-YEAR(TODAY()))</f>
        <v>103475444.19378841</v>
      </c>
      <c r="G54" s="5">
        <f ca="1">SUMIF('Database '!$A$11:$A$22,A54,'Database '!$G$11:$G$22)*(1+Table2[[#This Row],[Growth Percentage]])^(Table2[[#Headers],[2031]]-YEAR(TODAY()))</f>
        <v>113305611.39219831</v>
      </c>
      <c r="H54" s="5">
        <f ca="1">SUMIF('Database '!$A$11:$A$22,A54,'Database '!$G$11:$G$22)*(1+Table2[[#This Row],[Growth Percentage]])^(Table2[[#Headers],[2032]]-YEAR(TODAY()))</f>
        <v>124069644.47445716</v>
      </c>
      <c r="I54" s="5">
        <f ca="1">SUMIF('Database '!$A$11:$A$22,A54,'Database '!$G$11:$G$22)*(1+Table2[[#This Row],[Growth Percentage]])^(Table2[[#Headers],[2033]]-YEAR(TODAY()))</f>
        <v>135856260.69953057</v>
      </c>
      <c r="J54" s="5">
        <f ca="1">SUMIF('Database '!$A$11:$A$22,A54,'Database '!$G$11:$G$22)*(1+Table2[[#This Row],[Growth Percentage]])^(Table2[[#Headers],[2034]]-YEAR(TODAY()))</f>
        <v>148762605.46598598</v>
      </c>
      <c r="K54" s="5">
        <f ca="1">SUMIF('Database '!$A$11:$A$22,A54,'Database '!$G$11:$G$22)*(1+Table2[[#This Row],[Growth Percentage]])^(Table2[[#Headers],[2035]]-YEAR(TODAY()))</f>
        <v>162895052.98525465</v>
      </c>
      <c r="L54" s="5">
        <f ca="1">SUMIF('Database '!$A$11:$A$22,A54,'Database '!$G$11:$G$22)*(1+Table2[[#This Row],[Growth Percentage]])^(Table2[[#Headers],[2036]]-YEAR(TODAY()))</f>
        <v>178370083.01885387</v>
      </c>
    </row>
    <row r="55" spans="1:12">
      <c r="A55" t="str">
        <f>'Database '!$A$17</f>
        <v>ICBP</v>
      </c>
      <c r="B55" s="10">
        <f>'Database '!G28</f>
        <v>0.1</v>
      </c>
      <c r="C55" s="5">
        <f ca="1">SUMIF('Database '!$A$11:$A$22,A55,'Database '!$G$11:$G$22)*(1+Table2[[#This Row],[Growth Percentage]])^(Table2[[#Headers],[2027]]-YEAR(TODAY()))</f>
        <v>79172344.886800006</v>
      </c>
      <c r="D55" s="5">
        <f ca="1">SUMIF('Database '!$A$11:$A$22,A55,'Database '!$G$11:$G$22)*(1+Table2[[#This Row],[Growth Percentage]])^(Table2[[#Headers],[2028]]-YEAR(TODAY()))</f>
        <v>87089579.375480026</v>
      </c>
      <c r="E55" s="5">
        <f ca="1">SUMIF('Database '!$A$11:$A$22,A55,'Database '!$G$11:$G$22)*(1+Table2[[#This Row],[Growth Percentage]])^(Table2[[#Headers],[2029]]-YEAR(TODAY()))</f>
        <v>95798537.313028038</v>
      </c>
      <c r="F55" s="5">
        <f ca="1">SUMIF('Database '!$A$11:$A$22,A55,'Database '!$G$11:$G$22)*(1+Table2[[#This Row],[Growth Percentage]])^(Table2[[#Headers],[2030]]-YEAR(TODAY()))</f>
        <v>105378391.04433084</v>
      </c>
      <c r="G55" s="5">
        <f ca="1">SUMIF('Database '!$A$11:$A$22,A55,'Database '!$G$11:$G$22)*(1+Table2[[#This Row],[Growth Percentage]])^(Table2[[#Headers],[2031]]-YEAR(TODAY()))</f>
        <v>115916230.14876392</v>
      </c>
      <c r="H55" s="5">
        <f ca="1">SUMIF('Database '!$A$11:$A$22,A55,'Database '!$G$11:$G$22)*(1+Table2[[#This Row],[Growth Percentage]])^(Table2[[#Headers],[2032]]-YEAR(TODAY()))</f>
        <v>127507853.16364034</v>
      </c>
      <c r="I55" s="5">
        <f ca="1">SUMIF('Database '!$A$11:$A$22,A55,'Database '!$G$11:$G$22)*(1+Table2[[#This Row],[Growth Percentage]])^(Table2[[#Headers],[2033]]-YEAR(TODAY()))</f>
        <v>140258638.4800044</v>
      </c>
      <c r="J55" s="5">
        <f ca="1">SUMIF('Database '!$A$11:$A$22,A55,'Database '!$G$11:$G$22)*(1+Table2[[#This Row],[Growth Percentage]])^(Table2[[#Headers],[2034]]-YEAR(TODAY()))</f>
        <v>154284502.32800481</v>
      </c>
      <c r="K55" s="5">
        <f ca="1">SUMIF('Database '!$A$11:$A$22,A55,'Database '!$G$11:$G$22)*(1+Table2[[#This Row],[Growth Percentage]])^(Table2[[#Headers],[2035]]-YEAR(TODAY()))</f>
        <v>169712952.56080532</v>
      </c>
      <c r="L55" s="5">
        <f ca="1">SUMIF('Database '!$A$11:$A$22,A55,'Database '!$G$11:$G$22)*(1+Table2[[#This Row],[Growth Percentage]])^(Table2[[#Headers],[2036]]-YEAR(TODAY()))</f>
        <v>186684247.81688586</v>
      </c>
    </row>
    <row r="56" spans="1:12">
      <c r="A56" t="str">
        <f>'Database '!$A$17</f>
        <v>ICBP</v>
      </c>
      <c r="B56" s="10">
        <f>'Database '!H28</f>
        <v>0.11</v>
      </c>
      <c r="C56" s="5">
        <f ca="1">SUMIF('Database '!$A$11:$A$22,A56,'Database '!$G$11:$G$22)*(1+Table2[[#This Row],[Growth Percentage]])^(Table2[[#Headers],[2027]]-YEAR(TODAY()))</f>
        <v>79892093.476680011</v>
      </c>
      <c r="D56" s="5">
        <f ca="1">SUMIF('Database '!$A$11:$A$22,A56,'Database '!$G$11:$G$22)*(1+Table2[[#This Row],[Growth Percentage]])^(Table2[[#Headers],[2028]]-YEAR(TODAY()))</f>
        <v>88680223.759114817</v>
      </c>
      <c r="E56" s="5">
        <f ca="1">SUMIF('Database '!$A$11:$A$22,A56,'Database '!$G$11:$G$22)*(1+Table2[[#This Row],[Growth Percentage]])^(Table2[[#Headers],[2029]]-YEAR(TODAY()))</f>
        <v>98435048.372617453</v>
      </c>
      <c r="F56" s="5">
        <f ca="1">SUMIF('Database '!$A$11:$A$22,A56,'Database '!$G$11:$G$22)*(1+Table2[[#This Row],[Growth Percentage]])^(Table2[[#Headers],[2030]]-YEAR(TODAY()))</f>
        <v>109262903.69360538</v>
      </c>
      <c r="G56" s="5">
        <f ca="1">SUMIF('Database '!$A$11:$A$22,A56,'Database '!$G$11:$G$22)*(1+Table2[[#This Row],[Growth Percentage]])^(Table2[[#Headers],[2031]]-YEAR(TODAY()))</f>
        <v>121281823.09990199</v>
      </c>
      <c r="H56" s="5">
        <f ca="1">SUMIF('Database '!$A$11:$A$22,A56,'Database '!$G$11:$G$22)*(1+Table2[[#This Row],[Growth Percentage]])^(Table2[[#Headers],[2032]]-YEAR(TODAY()))</f>
        <v>134622823.64089119</v>
      </c>
      <c r="I56" s="5">
        <f ca="1">SUMIF('Database '!$A$11:$A$22,A56,'Database '!$G$11:$G$22)*(1+Table2[[#This Row],[Growth Percentage]])^(Table2[[#Headers],[2033]]-YEAR(TODAY()))</f>
        <v>149431334.24138924</v>
      </c>
      <c r="J56" s="5">
        <f ca="1">SUMIF('Database '!$A$11:$A$22,A56,'Database '!$G$11:$G$22)*(1+Table2[[#This Row],[Growth Percentage]])^(Table2[[#Headers],[2034]]-YEAR(TODAY()))</f>
        <v>165868781.00794208</v>
      </c>
      <c r="K56" s="5">
        <f ca="1">SUMIF('Database '!$A$11:$A$22,A56,'Database '!$G$11:$G$22)*(1+Table2[[#This Row],[Growth Percentage]])^(Table2[[#Headers],[2035]]-YEAR(TODAY()))</f>
        <v>184114346.91881573</v>
      </c>
      <c r="L56" s="5">
        <f ca="1">SUMIF('Database '!$A$11:$A$22,A56,'Database '!$G$11:$G$22)*(1+Table2[[#This Row],[Growth Percentage]])^(Table2[[#Headers],[2036]]-YEAR(TODAY()))</f>
        <v>204366925.07988551</v>
      </c>
    </row>
    <row r="57" spans="1:12">
      <c r="A57" t="str">
        <f>'Database '!$A$17</f>
        <v>ICBP</v>
      </c>
      <c r="B57" s="10">
        <f>'Database '!I28</f>
        <v>0.12</v>
      </c>
      <c r="C57" s="5">
        <f ca="1">SUMIF('Database '!$A$11:$A$22,A57,'Database '!$G$11:$G$22)*(1+Table2[[#This Row],[Growth Percentage]])^(Table2[[#Headers],[2027]]-YEAR(TODAY()))</f>
        <v>80611842.066560015</v>
      </c>
      <c r="D57" s="5">
        <f ca="1">SUMIF('Database '!$A$11:$A$22,A57,'Database '!$G$11:$G$22)*(1+Table2[[#This Row],[Growth Percentage]])^(Table2[[#Headers],[2028]]-YEAR(TODAY()))</f>
        <v>90285263.114547223</v>
      </c>
      <c r="E57" s="5">
        <f ca="1">SUMIF('Database '!$A$11:$A$22,A57,'Database '!$G$11:$G$22)*(1+Table2[[#This Row],[Growth Percentage]])^(Table2[[#Headers],[2029]]-YEAR(TODAY()))</f>
        <v>101119494.68829291</v>
      </c>
      <c r="F57" s="5">
        <f ca="1">SUMIF('Database '!$A$11:$A$22,A57,'Database '!$G$11:$G$22)*(1+Table2[[#This Row],[Growth Percentage]])^(Table2[[#Headers],[2030]]-YEAR(TODAY()))</f>
        <v>113253834.05088805</v>
      </c>
      <c r="G57" s="5">
        <f ca="1">SUMIF('Database '!$A$11:$A$22,A57,'Database '!$G$11:$G$22)*(1+Table2[[#This Row],[Growth Percentage]])^(Table2[[#Headers],[2031]]-YEAR(TODAY()))</f>
        <v>126844294.13699462</v>
      </c>
      <c r="H57" s="5">
        <f ca="1">SUMIF('Database '!$A$11:$A$22,A57,'Database '!$G$11:$G$22)*(1+Table2[[#This Row],[Growth Percentage]])^(Table2[[#Headers],[2032]]-YEAR(TODAY()))</f>
        <v>142065609.43343398</v>
      </c>
      <c r="I57" s="5">
        <f ca="1">SUMIF('Database '!$A$11:$A$22,A57,'Database '!$G$11:$G$22)*(1+Table2[[#This Row],[Growth Percentage]])^(Table2[[#Headers],[2033]]-YEAR(TODAY()))</f>
        <v>159113482.56544608</v>
      </c>
      <c r="J57" s="5">
        <f ca="1">SUMIF('Database '!$A$11:$A$22,A57,'Database '!$G$11:$G$22)*(1+Table2[[#This Row],[Growth Percentage]])^(Table2[[#Headers],[2034]]-YEAR(TODAY()))</f>
        <v>178207100.47329962</v>
      </c>
      <c r="K57" s="5">
        <f ca="1">SUMIF('Database '!$A$11:$A$22,A57,'Database '!$G$11:$G$22)*(1+Table2[[#This Row],[Growth Percentage]])^(Table2[[#Headers],[2035]]-YEAR(TODAY()))</f>
        <v>199591952.53009558</v>
      </c>
      <c r="L57" s="5">
        <f ca="1">SUMIF('Database '!$A$11:$A$22,A57,'Database '!$G$11:$G$22)*(1+Table2[[#This Row],[Growth Percentage]])^(Table2[[#Headers],[2036]]-YEAR(TODAY()))</f>
        <v>223542986.83370706</v>
      </c>
    </row>
    <row r="58" spans="1:12">
      <c r="A58" t="str">
        <f>'Database '!$A$18</f>
        <v>INDF</v>
      </c>
      <c r="B58" s="11">
        <f>'Database '!B28</f>
        <v>0.06</v>
      </c>
      <c r="C58" s="5">
        <f ca="1">SUMIF('Database '!$A$11:$A$22,A58,'Database '!$G$11:$G$22)*(1+Table2[[#This Row],[Growth Percentage]])^(Table2[[#Headers],[2027]]-YEAR(TODAY()))</f>
        <v>24907703.703449998</v>
      </c>
      <c r="D58" s="5">
        <f ca="1">SUMIF('Database '!$A$11:$A$22,A58,'Database '!$G$11:$G$22)*(1+Table2[[#This Row],[Growth Percentage]])^(Table2[[#Headers],[2028]]-YEAR(TODAY()))</f>
        <v>26402165.925657</v>
      </c>
      <c r="E58" s="5">
        <f ca="1">SUMIF('Database '!$A$11:$A$22,A58,'Database '!$G$11:$G$22)*(1+Table2[[#This Row],[Growth Percentage]])^(Table2[[#Headers],[2029]]-YEAR(TODAY()))</f>
        <v>27986295.881196424</v>
      </c>
      <c r="F58" s="5">
        <f ca="1">SUMIF('Database '!$A$11:$A$22,A58,'Database '!$G$11:$G$22)*(1+Table2[[#This Row],[Growth Percentage]])^(Table2[[#Headers],[2030]]-YEAR(TODAY()))</f>
        <v>29665473.63406821</v>
      </c>
      <c r="G58" s="5">
        <f ca="1">SUMIF('Database '!$A$11:$A$22,A58,'Database '!$G$11:$G$22)*(1+Table2[[#This Row],[Growth Percentage]])^(Table2[[#Headers],[2031]]-YEAR(TODAY()))</f>
        <v>31445402.052112304</v>
      </c>
      <c r="H58" s="5">
        <f ca="1">SUMIF('Database '!$A$11:$A$22,A58,'Database '!$G$11:$G$22)*(1+Table2[[#This Row],[Growth Percentage]])^(Table2[[#Headers],[2032]]-YEAR(TODAY()))</f>
        <v>33332126.175239045</v>
      </c>
      <c r="I58" s="5">
        <f ca="1">SUMIF('Database '!$A$11:$A$22,A58,'Database '!$G$11:$G$22)*(1+Table2[[#This Row],[Growth Percentage]])^(Table2[[#Headers],[2033]]-YEAR(TODAY()))</f>
        <v>35332053.745753393</v>
      </c>
      <c r="J58" s="5">
        <f ca="1">SUMIF('Database '!$A$11:$A$22,A58,'Database '!$G$11:$G$22)*(1+Table2[[#This Row],[Growth Percentage]])^(Table2[[#Headers],[2034]]-YEAR(TODAY()))</f>
        <v>37451976.970498592</v>
      </c>
      <c r="K58" s="5">
        <f ca="1">SUMIF('Database '!$A$11:$A$22,A58,'Database '!$G$11:$G$22)*(1+Table2[[#This Row],[Growth Percentage]])^(Table2[[#Headers],[2035]]-YEAR(TODAY()))</f>
        <v>39699095.58872851</v>
      </c>
      <c r="L58" s="5">
        <f ca="1">SUMIF('Database '!$A$11:$A$22,A58,'Database '!$G$11:$G$22)*(1+Table2[[#This Row],[Growth Percentage]])^(Table2[[#Headers],[2036]]-YEAR(TODAY()))</f>
        <v>42081041.324052222</v>
      </c>
    </row>
    <row r="59" spans="1:12">
      <c r="A59" t="str">
        <f>'Database '!$A$18</f>
        <v>INDF</v>
      </c>
      <c r="B59" s="10">
        <f>'Database '!C28</f>
        <v>7.0000000000000007E-2</v>
      </c>
      <c r="C59" s="5">
        <f ca="1">SUMIF('Database '!$A$11:$A$22,A59,'Database '!$G$11:$G$22)*(1+Table2[[#This Row],[Growth Percentage]])^(Table2[[#Headers],[2027]]-YEAR(TODAY()))</f>
        <v>25142682.040275</v>
      </c>
      <c r="D59" s="5">
        <f ca="1">SUMIF('Database '!$A$11:$A$22,A59,'Database '!$G$11:$G$22)*(1+Table2[[#This Row],[Growth Percentage]])^(Table2[[#Headers],[2028]]-YEAR(TODAY()))</f>
        <v>26902669.783094246</v>
      </c>
      <c r="E59" s="5">
        <f ca="1">SUMIF('Database '!$A$11:$A$22,A59,'Database '!$G$11:$G$22)*(1+Table2[[#This Row],[Growth Percentage]])^(Table2[[#Headers],[2029]]-YEAR(TODAY()))</f>
        <v>28785856.667910848</v>
      </c>
      <c r="F59" s="5">
        <f ca="1">SUMIF('Database '!$A$11:$A$22,A59,'Database '!$G$11:$G$22)*(1+Table2[[#This Row],[Growth Percentage]])^(Table2[[#Headers],[2030]]-YEAR(TODAY()))</f>
        <v>30800866.634664603</v>
      </c>
      <c r="G59" s="5">
        <f ca="1">SUMIF('Database '!$A$11:$A$22,A59,'Database '!$G$11:$G$22)*(1+Table2[[#This Row],[Growth Percentage]])^(Table2[[#Headers],[2031]]-YEAR(TODAY()))</f>
        <v>32956927.29909113</v>
      </c>
      <c r="H59" s="5">
        <f ca="1">SUMIF('Database '!$A$11:$A$22,A59,'Database '!$G$11:$G$22)*(1+Table2[[#This Row],[Growth Percentage]])^(Table2[[#Headers],[2032]]-YEAR(TODAY()))</f>
        <v>35263912.210027508</v>
      </c>
      <c r="I59" s="5">
        <f ca="1">SUMIF('Database '!$A$11:$A$22,A59,'Database '!$G$11:$G$22)*(1+Table2[[#This Row],[Growth Percentage]])^(Table2[[#Headers],[2033]]-YEAR(TODAY()))</f>
        <v>37732386.064729437</v>
      </c>
      <c r="J59" s="5">
        <f ca="1">SUMIF('Database '!$A$11:$A$22,A59,'Database '!$G$11:$G$22)*(1+Table2[[#This Row],[Growth Percentage]])^(Table2[[#Headers],[2034]]-YEAR(TODAY()))</f>
        <v>40373653.089260496</v>
      </c>
      <c r="K59" s="5">
        <f ca="1">SUMIF('Database '!$A$11:$A$22,A59,'Database '!$G$11:$G$22)*(1+Table2[[#This Row],[Growth Percentage]])^(Table2[[#Headers],[2035]]-YEAR(TODAY()))</f>
        <v>43199808.805508733</v>
      </c>
      <c r="L59" s="5">
        <f ca="1">SUMIF('Database '!$A$11:$A$22,A59,'Database '!$G$11:$G$22)*(1+Table2[[#This Row],[Growth Percentage]])^(Table2[[#Headers],[2036]]-YEAR(TODAY()))</f>
        <v>46223795.421894342</v>
      </c>
    </row>
    <row r="60" spans="1:12">
      <c r="A60" t="str">
        <f>'Database '!$A$18</f>
        <v>INDF</v>
      </c>
      <c r="B60" s="11">
        <f>'Database '!D28</f>
        <v>0.08</v>
      </c>
      <c r="C60" s="5">
        <f ca="1">SUMIF('Database '!$A$11:$A$22,A60,'Database '!$G$11:$G$22)*(1+Table2[[#This Row],[Growth Percentage]])^(Table2[[#Headers],[2027]]-YEAR(TODAY()))</f>
        <v>25377660.377099998</v>
      </c>
      <c r="D60" s="5">
        <f ca="1">SUMIF('Database '!$A$11:$A$22,A60,'Database '!$G$11:$G$22)*(1+Table2[[#This Row],[Growth Percentage]])^(Table2[[#Headers],[2028]]-YEAR(TODAY()))</f>
        <v>27407873.207268</v>
      </c>
      <c r="E60" s="5">
        <f ca="1">SUMIF('Database '!$A$11:$A$22,A60,'Database '!$G$11:$G$22)*(1+Table2[[#This Row],[Growth Percentage]])^(Table2[[#Headers],[2029]]-YEAR(TODAY()))</f>
        <v>29600503.063849442</v>
      </c>
      <c r="F60" s="5">
        <f ca="1">SUMIF('Database '!$A$11:$A$22,A60,'Database '!$G$11:$G$22)*(1+Table2[[#This Row],[Growth Percentage]])^(Table2[[#Headers],[2030]]-YEAR(TODAY()))</f>
        <v>31968543.308957398</v>
      </c>
      <c r="G60" s="5">
        <f ca="1">SUMIF('Database '!$A$11:$A$22,A60,'Database '!$G$11:$G$22)*(1+Table2[[#This Row],[Growth Percentage]])^(Table2[[#Headers],[2031]]-YEAR(TODAY()))</f>
        <v>34526026.773673989</v>
      </c>
      <c r="H60" s="5">
        <f ca="1">SUMIF('Database '!$A$11:$A$22,A60,'Database '!$G$11:$G$22)*(1+Table2[[#This Row],[Growth Percentage]])^(Table2[[#Headers],[2032]]-YEAR(TODAY()))</f>
        <v>37288108.915567912</v>
      </c>
      <c r="I60" s="5">
        <f ca="1">SUMIF('Database '!$A$11:$A$22,A60,'Database '!$G$11:$G$22)*(1+Table2[[#This Row],[Growth Percentage]])^(Table2[[#Headers],[2033]]-YEAR(TODAY()))</f>
        <v>40271157.628813349</v>
      </c>
      <c r="J60" s="5">
        <f ca="1">SUMIF('Database '!$A$11:$A$22,A60,'Database '!$G$11:$G$22)*(1+Table2[[#This Row],[Growth Percentage]])^(Table2[[#Headers],[2034]]-YEAR(TODAY()))</f>
        <v>43492850.23911842</v>
      </c>
      <c r="K60" s="5">
        <f ca="1">SUMIF('Database '!$A$11:$A$22,A60,'Database '!$G$11:$G$22)*(1+Table2[[#This Row],[Growth Percentage]])^(Table2[[#Headers],[2035]]-YEAR(TODAY()))</f>
        <v>46972278.258247897</v>
      </c>
      <c r="L60" s="5">
        <f ca="1">SUMIF('Database '!$A$11:$A$22,A60,'Database '!$G$11:$G$22)*(1+Table2[[#This Row],[Growth Percentage]])^(Table2[[#Headers],[2036]]-YEAR(TODAY()))</f>
        <v>50730060.518907726</v>
      </c>
    </row>
    <row r="61" spans="1:12">
      <c r="A61" t="str">
        <f>'Database '!$A$18</f>
        <v>INDF</v>
      </c>
      <c r="B61" s="10">
        <f>'Database '!E28</f>
        <v>0.09</v>
      </c>
      <c r="C61" s="5">
        <f ca="1">SUMIF('Database '!$A$11:$A$22,A61,'Database '!$G$11:$G$22)*(1+Table2[[#This Row],[Growth Percentage]])^(Table2[[#Headers],[2027]]-YEAR(TODAY()))</f>
        <v>25612638.713925</v>
      </c>
      <c r="D61" s="5">
        <f ca="1">SUMIF('Database '!$A$11:$A$22,A61,'Database '!$G$11:$G$22)*(1+Table2[[#This Row],[Growth Percentage]])^(Table2[[#Headers],[2028]]-YEAR(TODAY()))</f>
        <v>27917776.19817825</v>
      </c>
      <c r="E61" s="5">
        <f ca="1">SUMIF('Database '!$A$11:$A$22,A61,'Database '!$G$11:$G$22)*(1+Table2[[#This Row],[Growth Percentage]])^(Table2[[#Headers],[2029]]-YEAR(TODAY()))</f>
        <v>30430376.056014296</v>
      </c>
      <c r="F61" s="5">
        <f ca="1">SUMIF('Database '!$A$11:$A$22,A61,'Database '!$G$11:$G$22)*(1+Table2[[#This Row],[Growth Percentage]])^(Table2[[#Headers],[2030]]-YEAR(TODAY()))</f>
        <v>33169109.901055582</v>
      </c>
      <c r="G61" s="5">
        <f ca="1">SUMIF('Database '!$A$11:$A$22,A61,'Database '!$G$11:$G$22)*(1+Table2[[#This Row],[Growth Percentage]])^(Table2[[#Headers],[2031]]-YEAR(TODAY()))</f>
        <v>36154329.792150587</v>
      </c>
      <c r="H61" s="5">
        <f ca="1">SUMIF('Database '!$A$11:$A$22,A61,'Database '!$G$11:$G$22)*(1+Table2[[#This Row],[Growth Percentage]])^(Table2[[#Headers],[2032]]-YEAR(TODAY()))</f>
        <v>39408219.473444141</v>
      </c>
      <c r="I61" s="5">
        <f ca="1">SUMIF('Database '!$A$11:$A$22,A61,'Database '!$G$11:$G$22)*(1+Table2[[#This Row],[Growth Percentage]])^(Table2[[#Headers],[2033]]-YEAR(TODAY()))</f>
        <v>42954959.226054117</v>
      </c>
      <c r="J61" s="5">
        <f ca="1">SUMIF('Database '!$A$11:$A$22,A61,'Database '!$G$11:$G$22)*(1+Table2[[#This Row],[Growth Percentage]])^(Table2[[#Headers],[2034]]-YEAR(TODAY()))</f>
        <v>46820905.556398988</v>
      </c>
      <c r="K61" s="5">
        <f ca="1">SUMIF('Database '!$A$11:$A$22,A61,'Database '!$G$11:$G$22)*(1+Table2[[#This Row],[Growth Percentage]])^(Table2[[#Headers],[2035]]-YEAR(TODAY()))</f>
        <v>51034787.056474902</v>
      </c>
      <c r="L61" s="5">
        <f ca="1">SUMIF('Database '!$A$11:$A$22,A61,'Database '!$G$11:$G$22)*(1+Table2[[#This Row],[Growth Percentage]])^(Table2[[#Headers],[2036]]-YEAR(TODAY()))</f>
        <v>55627917.891557649</v>
      </c>
    </row>
    <row r="62" spans="1:12">
      <c r="A62" t="str">
        <f>'Database '!$A$18</f>
        <v>INDF</v>
      </c>
      <c r="B62" s="11">
        <f>'Database '!F28</f>
        <v>9.5000000000000001E-2</v>
      </c>
      <c r="C62" s="5">
        <f ca="1">SUMIF('Database '!$A$11:$A$22,A62,'Database '!$G$11:$G$22)*(1+Table2[[#This Row],[Growth Percentage]])^(Table2[[#Headers],[2027]]-YEAR(TODAY()))</f>
        <v>25730127.882337496</v>
      </c>
      <c r="D62" s="5">
        <f ca="1">SUMIF('Database '!$A$11:$A$22,A62,'Database '!$G$11:$G$22)*(1+Table2[[#This Row],[Growth Percentage]])^(Table2[[#Headers],[2028]]-YEAR(TODAY()))</f>
        <v>28174490.031159561</v>
      </c>
      <c r="E62" s="5">
        <f ca="1">SUMIF('Database '!$A$11:$A$22,A62,'Database '!$G$11:$G$22)*(1+Table2[[#This Row],[Growth Percentage]])^(Table2[[#Headers],[2029]]-YEAR(TODAY()))</f>
        <v>30851066.584119715</v>
      </c>
      <c r="F62" s="5">
        <f ca="1">SUMIF('Database '!$A$11:$A$22,A62,'Database '!$G$11:$G$22)*(1+Table2[[#This Row],[Growth Percentage]])^(Table2[[#Headers],[2030]]-YEAR(TODAY()))</f>
        <v>33781917.909611091</v>
      </c>
      <c r="G62" s="5">
        <f ca="1">SUMIF('Database '!$A$11:$A$22,A62,'Database '!$G$11:$G$22)*(1+Table2[[#This Row],[Growth Percentage]])^(Table2[[#Headers],[2031]]-YEAR(TODAY()))</f>
        <v>36991200.111024141</v>
      </c>
      <c r="H62" s="5">
        <f ca="1">SUMIF('Database '!$A$11:$A$22,A62,'Database '!$G$11:$G$22)*(1+Table2[[#This Row],[Growth Percentage]])^(Table2[[#Headers],[2032]]-YEAR(TODAY()))</f>
        <v>40505364.121571437</v>
      </c>
      <c r="I62" s="5">
        <f ca="1">SUMIF('Database '!$A$11:$A$22,A62,'Database '!$G$11:$G$22)*(1+Table2[[#This Row],[Growth Percentage]])^(Table2[[#Headers],[2033]]-YEAR(TODAY()))</f>
        <v>44353373.713120721</v>
      </c>
      <c r="J62" s="5">
        <f ca="1">SUMIF('Database '!$A$11:$A$22,A62,'Database '!$G$11:$G$22)*(1+Table2[[#This Row],[Growth Percentage]])^(Table2[[#Headers],[2034]]-YEAR(TODAY()))</f>
        <v>48566944.215867199</v>
      </c>
      <c r="K62" s="5">
        <f ca="1">SUMIF('Database '!$A$11:$A$22,A62,'Database '!$G$11:$G$22)*(1+Table2[[#This Row],[Growth Percentage]])^(Table2[[#Headers],[2035]]-YEAR(TODAY()))</f>
        <v>53180803.916374572</v>
      </c>
      <c r="L62" s="5">
        <f ca="1">SUMIF('Database '!$A$11:$A$22,A62,'Database '!$G$11:$G$22)*(1+Table2[[#This Row],[Growth Percentage]])^(Table2[[#Headers],[2036]]-YEAR(TODAY()))</f>
        <v>58232980.288430169</v>
      </c>
    </row>
    <row r="63" spans="1:12">
      <c r="A63" t="str">
        <f>'Database '!$A$18</f>
        <v>INDF</v>
      </c>
      <c r="B63" s="10">
        <f>'Database '!G28</f>
        <v>0.1</v>
      </c>
      <c r="C63" s="5">
        <f ca="1">SUMIF('Database '!$A$11:$A$22,A63,'Database '!$G$11:$G$22)*(1+Table2[[#This Row],[Growth Percentage]])^(Table2[[#Headers],[2027]]-YEAR(TODAY()))</f>
        <v>25847617.050749999</v>
      </c>
      <c r="D63" s="5">
        <f ca="1">SUMIF('Database '!$A$11:$A$22,A63,'Database '!$G$11:$G$22)*(1+Table2[[#This Row],[Growth Percentage]])^(Table2[[#Headers],[2028]]-YEAR(TODAY()))</f>
        <v>28432378.755825002</v>
      </c>
      <c r="E63" s="5">
        <f ca="1">SUMIF('Database '!$A$11:$A$22,A63,'Database '!$G$11:$G$22)*(1+Table2[[#This Row],[Growth Percentage]])^(Table2[[#Headers],[2029]]-YEAR(TODAY()))</f>
        <v>31275616.631407507</v>
      </c>
      <c r="F63" s="5">
        <f ca="1">SUMIF('Database '!$A$11:$A$22,A63,'Database '!$G$11:$G$22)*(1+Table2[[#This Row],[Growth Percentage]])^(Table2[[#Headers],[2030]]-YEAR(TODAY()))</f>
        <v>34403178.294548258</v>
      </c>
      <c r="G63" s="5">
        <f ca="1">SUMIF('Database '!$A$11:$A$22,A63,'Database '!$G$11:$G$22)*(1+Table2[[#This Row],[Growth Percentage]])^(Table2[[#Headers],[2031]]-YEAR(TODAY()))</f>
        <v>37843496.124003083</v>
      </c>
      <c r="H63" s="5">
        <f ca="1">SUMIF('Database '!$A$11:$A$22,A63,'Database '!$G$11:$G$22)*(1+Table2[[#This Row],[Growth Percentage]])^(Table2[[#Headers],[2032]]-YEAR(TODAY()))</f>
        <v>41627845.736403398</v>
      </c>
      <c r="I63" s="5">
        <f ca="1">SUMIF('Database '!$A$11:$A$22,A63,'Database '!$G$11:$G$22)*(1+Table2[[#This Row],[Growth Percentage]])^(Table2[[#Headers],[2033]]-YEAR(TODAY()))</f>
        <v>45790630.310043745</v>
      </c>
      <c r="J63" s="5">
        <f ca="1">SUMIF('Database '!$A$11:$A$22,A63,'Database '!$G$11:$G$22)*(1+Table2[[#This Row],[Growth Percentage]])^(Table2[[#Headers],[2034]]-YEAR(TODAY()))</f>
        <v>50369693.341048114</v>
      </c>
      <c r="K63" s="5">
        <f ca="1">SUMIF('Database '!$A$11:$A$22,A63,'Database '!$G$11:$G$22)*(1+Table2[[#This Row],[Growth Percentage]])^(Table2[[#Headers],[2035]]-YEAR(TODAY()))</f>
        <v>55406662.675152928</v>
      </c>
      <c r="L63" s="5">
        <f ca="1">SUMIF('Database '!$A$11:$A$22,A63,'Database '!$G$11:$G$22)*(1+Table2[[#This Row],[Growth Percentage]])^(Table2[[#Headers],[2036]]-YEAR(TODAY()))</f>
        <v>60947328.942668229</v>
      </c>
    </row>
    <row r="64" spans="1:12">
      <c r="A64" t="str">
        <f>'Database '!$A$18</f>
        <v>INDF</v>
      </c>
      <c r="B64" s="10">
        <f>'Database '!H28</f>
        <v>0.11</v>
      </c>
      <c r="C64" s="5">
        <f ca="1">SUMIF('Database '!$A$11:$A$22,A64,'Database '!$G$11:$G$22)*(1+Table2[[#This Row],[Growth Percentage]])^(Table2[[#Headers],[2027]]-YEAR(TODAY()))</f>
        <v>26082595.387575001</v>
      </c>
      <c r="D64" s="5">
        <f ca="1">SUMIF('Database '!$A$11:$A$22,A64,'Database '!$G$11:$G$22)*(1+Table2[[#This Row],[Growth Percentage]])^(Table2[[#Headers],[2028]]-YEAR(TODAY()))</f>
        <v>28951680.88020825</v>
      </c>
      <c r="E64" s="5">
        <f ca="1">SUMIF('Database '!$A$11:$A$22,A64,'Database '!$G$11:$G$22)*(1+Table2[[#This Row],[Growth Percentage]])^(Table2[[#Headers],[2029]]-YEAR(TODAY()))</f>
        <v>32136365.777031161</v>
      </c>
      <c r="F64" s="5">
        <f ca="1">SUMIF('Database '!$A$11:$A$22,A64,'Database '!$G$11:$G$22)*(1+Table2[[#This Row],[Growth Percentage]])^(Table2[[#Headers],[2030]]-YEAR(TODAY()))</f>
        <v>35671366.012504593</v>
      </c>
      <c r="G64" s="5">
        <f ca="1">SUMIF('Database '!$A$11:$A$22,A64,'Database '!$G$11:$G$22)*(1+Table2[[#This Row],[Growth Percentage]])^(Table2[[#Headers],[2031]]-YEAR(TODAY()))</f>
        <v>39595216.273880094</v>
      </c>
      <c r="H64" s="5">
        <f ca="1">SUMIF('Database '!$A$11:$A$22,A64,'Database '!$G$11:$G$22)*(1+Table2[[#This Row],[Growth Percentage]])^(Table2[[#Headers],[2032]]-YEAR(TODAY()))</f>
        <v>43950690.06400691</v>
      </c>
      <c r="I64" s="5">
        <f ca="1">SUMIF('Database '!$A$11:$A$22,A64,'Database '!$G$11:$G$22)*(1+Table2[[#This Row],[Growth Percentage]])^(Table2[[#Headers],[2033]]-YEAR(TODAY()))</f>
        <v>48785265.97104767</v>
      </c>
      <c r="J64" s="5">
        <f ca="1">SUMIF('Database '!$A$11:$A$22,A64,'Database '!$G$11:$G$22)*(1+Table2[[#This Row],[Growth Percentage]])^(Table2[[#Headers],[2034]]-YEAR(TODAY()))</f>
        <v>54151645.227862924</v>
      </c>
      <c r="K64" s="5">
        <f ca="1">SUMIF('Database '!$A$11:$A$22,A64,'Database '!$G$11:$G$22)*(1+Table2[[#This Row],[Growth Percentage]])^(Table2[[#Headers],[2035]]-YEAR(TODAY()))</f>
        <v>60108326.202927858</v>
      </c>
      <c r="L64" s="5">
        <f ca="1">SUMIF('Database '!$A$11:$A$22,A64,'Database '!$G$11:$G$22)*(1+Table2[[#This Row],[Growth Percentage]])^(Table2[[#Headers],[2036]]-YEAR(TODAY()))</f>
        <v>66720242.085249931</v>
      </c>
    </row>
    <row r="65" spans="1:12">
      <c r="A65" t="str">
        <f>'Database '!$A$18</f>
        <v>INDF</v>
      </c>
      <c r="B65" s="10">
        <f>'Database '!I28</f>
        <v>0.12</v>
      </c>
      <c r="C65" s="5">
        <f ca="1">SUMIF('Database '!$A$11:$A$22,A65,'Database '!$G$11:$G$22)*(1+Table2[[#This Row],[Growth Percentage]])^(Table2[[#Headers],[2027]]-YEAR(TODAY()))</f>
        <v>26317573.724399999</v>
      </c>
      <c r="D65" s="5">
        <f ca="1">SUMIF('Database '!$A$11:$A$22,A65,'Database '!$G$11:$G$22)*(1+Table2[[#This Row],[Growth Percentage]])^(Table2[[#Headers],[2028]]-YEAR(TODAY()))</f>
        <v>29475682.571327999</v>
      </c>
      <c r="E65" s="5">
        <f ca="1">SUMIF('Database '!$A$11:$A$22,A65,'Database '!$G$11:$G$22)*(1+Table2[[#This Row],[Growth Percentage]])^(Table2[[#Headers],[2029]]-YEAR(TODAY()))</f>
        <v>33012764.479887366</v>
      </c>
      <c r="F65" s="5">
        <f ca="1">SUMIF('Database '!$A$11:$A$22,A65,'Database '!$G$11:$G$22)*(1+Table2[[#This Row],[Growth Percentage]])^(Table2[[#Headers],[2030]]-YEAR(TODAY()))</f>
        <v>36974296.21747385</v>
      </c>
      <c r="G65" s="5">
        <f ca="1">SUMIF('Database '!$A$11:$A$22,A65,'Database '!$G$11:$G$22)*(1+Table2[[#This Row],[Growth Percentage]])^(Table2[[#Headers],[2031]]-YEAR(TODAY()))</f>
        <v>41411211.763570711</v>
      </c>
      <c r="H65" s="5">
        <f ca="1">SUMIF('Database '!$A$11:$A$22,A65,'Database '!$G$11:$G$22)*(1+Table2[[#This Row],[Growth Percentage]])^(Table2[[#Headers],[2032]]-YEAR(TODAY()))</f>
        <v>46380557.175199203</v>
      </c>
      <c r="I65" s="5">
        <f ca="1">SUMIF('Database '!$A$11:$A$22,A65,'Database '!$G$11:$G$22)*(1+Table2[[#This Row],[Growth Percentage]])^(Table2[[#Headers],[2033]]-YEAR(TODAY()))</f>
        <v>51946224.036223106</v>
      </c>
      <c r="J65" s="5">
        <f ca="1">SUMIF('Database '!$A$11:$A$22,A65,'Database '!$G$11:$G$22)*(1+Table2[[#This Row],[Growth Percentage]])^(Table2[[#Headers],[2034]]-YEAR(TODAY()))</f>
        <v>58179770.920569889</v>
      </c>
      <c r="K65" s="5">
        <f ca="1">SUMIF('Database '!$A$11:$A$22,A65,'Database '!$G$11:$G$22)*(1+Table2[[#This Row],[Growth Percentage]])^(Table2[[#Headers],[2035]]-YEAR(TODAY()))</f>
        <v>65161343.431038275</v>
      </c>
      <c r="L65" s="5">
        <f ca="1">SUMIF('Database '!$A$11:$A$22,A65,'Database '!$G$11:$G$22)*(1+Table2[[#This Row],[Growth Percentage]])^(Table2[[#Headers],[2036]]-YEAR(TODAY()))</f>
        <v>72980704.64276287</v>
      </c>
    </row>
    <row r="66" spans="1:12">
      <c r="A66" t="str">
        <f>'Database '!$A$19</f>
        <v>ITMG</v>
      </c>
      <c r="B66" s="11">
        <f>'Database '!B28</f>
        <v>0.06</v>
      </c>
      <c r="C66" s="5">
        <f ca="1">SUMIF('Database '!$A$11:$A$22,A66,'Database '!$G$11:$G$22)*(1+Table2[[#This Row],[Growth Percentage]])^(Table2[[#Headers],[2027]]-YEAR(TODAY()))</f>
        <v>172105037.20900002</v>
      </c>
      <c r="D66" s="5">
        <f ca="1">SUMIF('Database '!$A$11:$A$22,A66,'Database '!$G$11:$G$22)*(1+Table2[[#This Row],[Growth Percentage]])^(Table2[[#Headers],[2028]]-YEAR(TODAY()))</f>
        <v>182431339.44154003</v>
      </c>
      <c r="E66" s="5">
        <f ca="1">SUMIF('Database '!$A$11:$A$22,A66,'Database '!$G$11:$G$22)*(1+Table2[[#This Row],[Growth Percentage]])^(Table2[[#Headers],[2029]]-YEAR(TODAY()))</f>
        <v>193377219.80803245</v>
      </c>
      <c r="F66" s="5">
        <f ca="1">SUMIF('Database '!$A$11:$A$22,A66,'Database '!$G$11:$G$22)*(1+Table2[[#This Row],[Growth Percentage]])^(Table2[[#Headers],[2030]]-YEAR(TODAY()))</f>
        <v>204979852.99651441</v>
      </c>
      <c r="G66" s="5">
        <f ca="1">SUMIF('Database '!$A$11:$A$22,A66,'Database '!$G$11:$G$22)*(1+Table2[[#This Row],[Growth Percentage]])^(Table2[[#Headers],[2031]]-YEAR(TODAY()))</f>
        <v>217278644.17630529</v>
      </c>
      <c r="H66" s="5">
        <f ca="1">SUMIF('Database '!$A$11:$A$22,A66,'Database '!$G$11:$G$22)*(1+Table2[[#This Row],[Growth Percentage]])^(Table2[[#Headers],[2032]]-YEAR(TODAY()))</f>
        <v>230315362.82688361</v>
      </c>
      <c r="I66" s="5">
        <f ca="1">SUMIF('Database '!$A$11:$A$22,A66,'Database '!$G$11:$G$22)*(1+Table2[[#This Row],[Growth Percentage]])^(Table2[[#Headers],[2033]]-YEAR(TODAY()))</f>
        <v>244134284.59649667</v>
      </c>
      <c r="J66" s="5">
        <f ca="1">SUMIF('Database '!$A$11:$A$22,A66,'Database '!$G$11:$G$22)*(1+Table2[[#This Row],[Growth Percentage]])^(Table2[[#Headers],[2034]]-YEAR(TODAY()))</f>
        <v>258782341.67228645</v>
      </c>
      <c r="K66" s="5">
        <f ca="1">SUMIF('Database '!$A$11:$A$22,A66,'Database '!$G$11:$G$22)*(1+Table2[[#This Row],[Growth Percentage]])^(Table2[[#Headers],[2035]]-YEAR(TODAY()))</f>
        <v>274309282.17262363</v>
      </c>
      <c r="L66" s="5">
        <f ca="1">SUMIF('Database '!$A$11:$A$22,A66,'Database '!$G$11:$G$22)*(1+Table2[[#This Row],[Growth Percentage]])^(Table2[[#Headers],[2036]]-YEAR(TODAY()))</f>
        <v>290767839.10298109</v>
      </c>
    </row>
    <row r="67" spans="1:12">
      <c r="A67" t="str">
        <f>'Database '!$A$19</f>
        <v>ITMG</v>
      </c>
      <c r="B67" s="10">
        <f>'Database '!C28</f>
        <v>7.0000000000000007E-2</v>
      </c>
      <c r="C67" s="5">
        <f ca="1">SUMIF('Database '!$A$11:$A$22,A67,'Database '!$G$11:$G$22)*(1+Table2[[#This Row],[Growth Percentage]])^(Table2[[#Headers],[2027]]-YEAR(TODAY()))</f>
        <v>173728669.63550001</v>
      </c>
      <c r="D67" s="5">
        <f ca="1">SUMIF('Database '!$A$11:$A$22,A67,'Database '!$G$11:$G$22)*(1+Table2[[#This Row],[Growth Percentage]])^(Table2[[#Headers],[2028]]-YEAR(TODAY()))</f>
        <v>185889676.509985</v>
      </c>
      <c r="E67" s="5">
        <f ca="1">SUMIF('Database '!$A$11:$A$22,A67,'Database '!$G$11:$G$22)*(1+Table2[[#This Row],[Growth Percentage]])^(Table2[[#Headers],[2029]]-YEAR(TODAY()))</f>
        <v>198901953.86568397</v>
      </c>
      <c r="F67" s="5">
        <f ca="1">SUMIF('Database '!$A$11:$A$22,A67,'Database '!$G$11:$G$22)*(1+Table2[[#This Row],[Growth Percentage]])^(Table2[[#Headers],[2030]]-YEAR(TODAY()))</f>
        <v>212825090.63628185</v>
      </c>
      <c r="G67" s="5">
        <f ca="1">SUMIF('Database '!$A$11:$A$22,A67,'Database '!$G$11:$G$22)*(1+Table2[[#This Row],[Growth Percentage]])^(Table2[[#Headers],[2031]]-YEAR(TODAY()))</f>
        <v>227722846.98082158</v>
      </c>
      <c r="H67" s="5">
        <f ca="1">SUMIF('Database '!$A$11:$A$22,A67,'Database '!$G$11:$G$22)*(1+Table2[[#This Row],[Growth Percentage]])^(Table2[[#Headers],[2032]]-YEAR(TODAY()))</f>
        <v>243663446.26947907</v>
      </c>
      <c r="I67" s="5">
        <f ca="1">SUMIF('Database '!$A$11:$A$22,A67,'Database '!$G$11:$G$22)*(1+Table2[[#This Row],[Growth Percentage]])^(Table2[[#Headers],[2033]]-YEAR(TODAY()))</f>
        <v>260719887.50834262</v>
      </c>
      <c r="J67" s="5">
        <f ca="1">SUMIF('Database '!$A$11:$A$22,A67,'Database '!$G$11:$G$22)*(1+Table2[[#This Row],[Growth Percentage]])^(Table2[[#Headers],[2034]]-YEAR(TODAY()))</f>
        <v>278970279.63392663</v>
      </c>
      <c r="K67" s="5">
        <f ca="1">SUMIF('Database '!$A$11:$A$22,A67,'Database '!$G$11:$G$22)*(1+Table2[[#This Row],[Growth Percentage]])^(Table2[[#Headers],[2035]]-YEAR(TODAY()))</f>
        <v>298498199.20830148</v>
      </c>
      <c r="L67" s="5">
        <f ca="1">SUMIF('Database '!$A$11:$A$22,A67,'Database '!$G$11:$G$22)*(1+Table2[[#This Row],[Growth Percentage]])^(Table2[[#Headers],[2036]]-YEAR(TODAY()))</f>
        <v>319393073.15288258</v>
      </c>
    </row>
    <row r="68" spans="1:12">
      <c r="A68" t="str">
        <f>'Database '!$A$19</f>
        <v>ITMG</v>
      </c>
      <c r="B68" s="11">
        <f>'Database '!D28</f>
        <v>0.08</v>
      </c>
      <c r="C68" s="5">
        <f ca="1">SUMIF('Database '!$A$11:$A$22,A68,'Database '!$G$11:$G$22)*(1+Table2[[#This Row],[Growth Percentage]])^(Table2[[#Headers],[2027]]-YEAR(TODAY()))</f>
        <v>175352302.06200001</v>
      </c>
      <c r="D68" s="5">
        <f ca="1">SUMIF('Database '!$A$11:$A$22,A68,'Database '!$G$11:$G$22)*(1+Table2[[#This Row],[Growth Percentage]])^(Table2[[#Headers],[2028]]-YEAR(TODAY()))</f>
        <v>189380486.22696003</v>
      </c>
      <c r="E68" s="5">
        <f ca="1">SUMIF('Database '!$A$11:$A$22,A68,'Database '!$G$11:$G$22)*(1+Table2[[#This Row],[Growth Percentage]])^(Table2[[#Headers],[2029]]-YEAR(TODAY()))</f>
        <v>204530925.12511683</v>
      </c>
      <c r="F68" s="5">
        <f ca="1">SUMIF('Database '!$A$11:$A$22,A68,'Database '!$G$11:$G$22)*(1+Table2[[#This Row],[Growth Percentage]])^(Table2[[#Headers],[2030]]-YEAR(TODAY()))</f>
        <v>220893399.1351262</v>
      </c>
      <c r="G68" s="5">
        <f ca="1">SUMIF('Database '!$A$11:$A$22,A68,'Database '!$G$11:$G$22)*(1+Table2[[#This Row],[Growth Percentage]])^(Table2[[#Headers],[2031]]-YEAR(TODAY()))</f>
        <v>238564871.0659363</v>
      </c>
      <c r="H68" s="5">
        <f ca="1">SUMIF('Database '!$A$11:$A$22,A68,'Database '!$G$11:$G$22)*(1+Table2[[#This Row],[Growth Percentage]])^(Table2[[#Headers],[2032]]-YEAR(TODAY()))</f>
        <v>257650060.75121123</v>
      </c>
      <c r="I68" s="5">
        <f ca="1">SUMIF('Database '!$A$11:$A$22,A68,'Database '!$G$11:$G$22)*(1+Table2[[#This Row],[Growth Percentage]])^(Table2[[#Headers],[2033]]-YEAR(TODAY()))</f>
        <v>278262065.61130816</v>
      </c>
      <c r="J68" s="5">
        <f ca="1">SUMIF('Database '!$A$11:$A$22,A68,'Database '!$G$11:$G$22)*(1+Table2[[#This Row],[Growth Percentage]])^(Table2[[#Headers],[2034]]-YEAR(TODAY()))</f>
        <v>300523030.8602128</v>
      </c>
      <c r="K68" s="5">
        <f ca="1">SUMIF('Database '!$A$11:$A$22,A68,'Database '!$G$11:$G$22)*(1+Table2[[#This Row],[Growth Percentage]])^(Table2[[#Headers],[2035]]-YEAR(TODAY()))</f>
        <v>324564873.32902986</v>
      </c>
      <c r="L68" s="5">
        <f ca="1">SUMIF('Database '!$A$11:$A$22,A68,'Database '!$G$11:$G$22)*(1+Table2[[#This Row],[Growth Percentage]])^(Table2[[#Headers],[2036]]-YEAR(TODAY()))</f>
        <v>350530063.19535226</v>
      </c>
    </row>
    <row r="69" spans="1:12">
      <c r="A69" t="str">
        <f>'Database '!$A$19</f>
        <v>ITMG</v>
      </c>
      <c r="B69" s="10">
        <f>'Database '!E28</f>
        <v>0.09</v>
      </c>
      <c r="C69" s="5">
        <f ca="1">SUMIF('Database '!$A$11:$A$22,A69,'Database '!$G$11:$G$22)*(1+Table2[[#This Row],[Growth Percentage]])^(Table2[[#Headers],[2027]]-YEAR(TODAY()))</f>
        <v>176975934.48850003</v>
      </c>
      <c r="D69" s="5">
        <f ca="1">SUMIF('Database '!$A$11:$A$22,A69,'Database '!$G$11:$G$22)*(1+Table2[[#This Row],[Growth Percentage]])^(Table2[[#Headers],[2028]]-YEAR(TODAY()))</f>
        <v>192903768.59246504</v>
      </c>
      <c r="E69" s="5">
        <f ca="1">SUMIF('Database '!$A$11:$A$22,A69,'Database '!$G$11:$G$22)*(1+Table2[[#This Row],[Growth Percentage]])^(Table2[[#Headers],[2029]]-YEAR(TODAY()))</f>
        <v>210265107.76578689</v>
      </c>
      <c r="F69" s="5">
        <f ca="1">SUMIF('Database '!$A$11:$A$22,A69,'Database '!$G$11:$G$22)*(1+Table2[[#This Row],[Growth Percentage]])^(Table2[[#Headers],[2030]]-YEAR(TODAY()))</f>
        <v>229188967.46470773</v>
      </c>
      <c r="G69" s="5">
        <f ca="1">SUMIF('Database '!$A$11:$A$22,A69,'Database '!$G$11:$G$22)*(1+Table2[[#This Row],[Growth Percentage]])^(Table2[[#Headers],[2031]]-YEAR(TODAY()))</f>
        <v>249815974.53653145</v>
      </c>
      <c r="H69" s="5">
        <f ca="1">SUMIF('Database '!$A$11:$A$22,A69,'Database '!$G$11:$G$22)*(1+Table2[[#This Row],[Growth Percentage]])^(Table2[[#Headers],[2032]]-YEAR(TODAY()))</f>
        <v>272299412.24481928</v>
      </c>
      <c r="I69" s="5">
        <f ca="1">SUMIF('Database '!$A$11:$A$22,A69,'Database '!$G$11:$G$22)*(1+Table2[[#This Row],[Growth Percentage]])^(Table2[[#Headers],[2033]]-YEAR(TODAY()))</f>
        <v>296806359.34685302</v>
      </c>
      <c r="J69" s="5">
        <f ca="1">SUMIF('Database '!$A$11:$A$22,A69,'Database '!$G$11:$G$22)*(1+Table2[[#This Row],[Growth Percentage]])^(Table2[[#Headers],[2034]]-YEAR(TODAY()))</f>
        <v>323518931.68806982</v>
      </c>
      <c r="K69" s="5">
        <f ca="1">SUMIF('Database '!$A$11:$A$22,A69,'Database '!$G$11:$G$22)*(1+Table2[[#This Row],[Growth Percentage]])^(Table2[[#Headers],[2035]]-YEAR(TODAY()))</f>
        <v>352635635.53999615</v>
      </c>
      <c r="L69" s="5">
        <f ca="1">SUMIF('Database '!$A$11:$A$22,A69,'Database '!$G$11:$G$22)*(1+Table2[[#This Row],[Growth Percentage]])^(Table2[[#Headers],[2036]]-YEAR(TODAY()))</f>
        <v>384372842.73859584</v>
      </c>
    </row>
    <row r="70" spans="1:12">
      <c r="A70" t="str">
        <f>'Database '!$A$19</f>
        <v>ITMG</v>
      </c>
      <c r="B70" s="11">
        <f>'Database '!F28</f>
        <v>9.5000000000000001E-2</v>
      </c>
      <c r="C70" s="5">
        <f ca="1">SUMIF('Database '!$A$11:$A$22,A70,'Database '!$G$11:$G$22)*(1+Table2[[#This Row],[Growth Percentage]])^(Table2[[#Headers],[2027]]-YEAR(TODAY()))</f>
        <v>177787750.70175001</v>
      </c>
      <c r="D70" s="5">
        <f ca="1">SUMIF('Database '!$A$11:$A$22,A70,'Database '!$G$11:$G$22)*(1+Table2[[#This Row],[Growth Percentage]])^(Table2[[#Headers],[2028]]-YEAR(TODAY()))</f>
        <v>194677587.01841626</v>
      </c>
      <c r="E70" s="5">
        <f ca="1">SUMIF('Database '!$A$11:$A$22,A70,'Database '!$G$11:$G$22)*(1+Table2[[#This Row],[Growth Percentage]])^(Table2[[#Headers],[2029]]-YEAR(TODAY()))</f>
        <v>213171957.78516579</v>
      </c>
      <c r="F70" s="5">
        <f ca="1">SUMIF('Database '!$A$11:$A$22,A70,'Database '!$G$11:$G$22)*(1+Table2[[#This Row],[Growth Percentage]])^(Table2[[#Headers],[2030]]-YEAR(TODAY()))</f>
        <v>233423293.77475655</v>
      </c>
      <c r="G70" s="5">
        <f ca="1">SUMIF('Database '!$A$11:$A$22,A70,'Database '!$G$11:$G$22)*(1+Table2[[#This Row],[Growth Percentage]])^(Table2[[#Headers],[2031]]-YEAR(TODAY()))</f>
        <v>255598506.68335843</v>
      </c>
      <c r="H70" s="5">
        <f ca="1">SUMIF('Database '!$A$11:$A$22,A70,'Database '!$G$11:$G$22)*(1+Table2[[#This Row],[Growth Percentage]])^(Table2[[#Headers],[2032]]-YEAR(TODAY()))</f>
        <v>279880364.81827748</v>
      </c>
      <c r="I70" s="5">
        <f ca="1">SUMIF('Database '!$A$11:$A$22,A70,'Database '!$G$11:$G$22)*(1+Table2[[#This Row],[Growth Percentage]])^(Table2[[#Headers],[2033]]-YEAR(TODAY()))</f>
        <v>306468999.47601384</v>
      </c>
      <c r="J70" s="5">
        <f ca="1">SUMIF('Database '!$A$11:$A$22,A70,'Database '!$G$11:$G$22)*(1+Table2[[#This Row],[Growth Percentage]])^(Table2[[#Headers],[2034]]-YEAR(TODAY()))</f>
        <v>335583554.42623514</v>
      </c>
      <c r="K70" s="5">
        <f ca="1">SUMIF('Database '!$A$11:$A$22,A70,'Database '!$G$11:$G$22)*(1+Table2[[#This Row],[Growth Percentage]])^(Table2[[#Headers],[2035]]-YEAR(TODAY()))</f>
        <v>367463992.09672749</v>
      </c>
      <c r="L70" s="5">
        <f ca="1">SUMIF('Database '!$A$11:$A$22,A70,'Database '!$G$11:$G$22)*(1+Table2[[#This Row],[Growth Percentage]])^(Table2[[#Headers],[2036]]-YEAR(TODAY()))</f>
        <v>402373071.34591663</v>
      </c>
    </row>
    <row r="71" spans="1:12">
      <c r="A71" t="str">
        <f>'Database '!$A$19</f>
        <v>ITMG</v>
      </c>
      <c r="B71" s="11">
        <f>'Database '!G28</f>
        <v>0.1</v>
      </c>
      <c r="C71" s="5">
        <f ca="1">SUMIF('Database '!$A$11:$A$22,A71,'Database '!$G$11:$G$22)*(1+Table2[[#This Row],[Growth Percentage]])^(Table2[[#Headers],[2027]]-YEAR(TODAY()))</f>
        <v>178599566.91500002</v>
      </c>
      <c r="D71" s="5">
        <f ca="1">SUMIF('Database '!$A$11:$A$22,A71,'Database '!$G$11:$G$22)*(1+Table2[[#This Row],[Growth Percentage]])^(Table2[[#Headers],[2028]]-YEAR(TODAY()))</f>
        <v>196459523.60650003</v>
      </c>
      <c r="E71" s="5">
        <f ca="1">SUMIF('Database '!$A$11:$A$22,A71,'Database '!$G$11:$G$22)*(1+Table2[[#This Row],[Growth Percentage]])^(Table2[[#Headers],[2029]]-YEAR(TODAY()))</f>
        <v>216105475.96715006</v>
      </c>
      <c r="F71" s="5">
        <f ca="1">SUMIF('Database '!$A$11:$A$22,A71,'Database '!$G$11:$G$22)*(1+Table2[[#This Row],[Growth Percentage]])^(Table2[[#Headers],[2030]]-YEAR(TODAY()))</f>
        <v>237716023.56386507</v>
      </c>
      <c r="G71" s="5">
        <f ca="1">SUMIF('Database '!$A$11:$A$22,A71,'Database '!$G$11:$G$22)*(1+Table2[[#This Row],[Growth Percentage]])^(Table2[[#Headers],[2031]]-YEAR(TODAY()))</f>
        <v>261487625.92025161</v>
      </c>
      <c r="H71" s="5">
        <f ca="1">SUMIF('Database '!$A$11:$A$22,A71,'Database '!$G$11:$G$22)*(1+Table2[[#This Row],[Growth Percentage]])^(Table2[[#Headers],[2032]]-YEAR(TODAY()))</f>
        <v>287636388.51227677</v>
      </c>
      <c r="I71" s="5">
        <f ca="1">SUMIF('Database '!$A$11:$A$22,A71,'Database '!$G$11:$G$22)*(1+Table2[[#This Row],[Growth Percentage]])^(Table2[[#Headers],[2033]]-YEAR(TODAY()))</f>
        <v>316400027.36350453</v>
      </c>
      <c r="J71" s="5">
        <f ca="1">SUMIF('Database '!$A$11:$A$22,A71,'Database '!$G$11:$G$22)*(1+Table2[[#This Row],[Growth Percentage]])^(Table2[[#Headers],[2034]]-YEAR(TODAY()))</f>
        <v>348040030.09985495</v>
      </c>
      <c r="K71" s="5">
        <f ca="1">SUMIF('Database '!$A$11:$A$22,A71,'Database '!$G$11:$G$22)*(1+Table2[[#This Row],[Growth Percentage]])^(Table2[[#Headers],[2035]]-YEAR(TODAY()))</f>
        <v>382844033.10984045</v>
      </c>
      <c r="L71" s="5">
        <f ca="1">SUMIF('Database '!$A$11:$A$22,A71,'Database '!$G$11:$G$22)*(1+Table2[[#This Row],[Growth Percentage]])^(Table2[[#Headers],[2036]]-YEAR(TODAY()))</f>
        <v>421128436.42082459</v>
      </c>
    </row>
    <row r="72" spans="1:12">
      <c r="A72" t="str">
        <f>'Database '!$A$19</f>
        <v>ITMG</v>
      </c>
      <c r="B72" s="10">
        <f>'Database '!H28</f>
        <v>0.11</v>
      </c>
      <c r="C72" s="5">
        <f ca="1">SUMIF('Database '!$A$11:$A$22,A72,'Database '!$G$11:$G$22)*(1+Table2[[#This Row],[Growth Percentage]])^(Table2[[#Headers],[2027]]-YEAR(TODAY()))</f>
        <v>180223199.34150001</v>
      </c>
      <c r="D72" s="5">
        <f ca="1">SUMIF('Database '!$A$11:$A$22,A72,'Database '!$G$11:$G$22)*(1+Table2[[#This Row],[Growth Percentage]])^(Table2[[#Headers],[2028]]-YEAR(TODAY()))</f>
        <v>200047751.26906505</v>
      </c>
      <c r="E72" s="5">
        <f ca="1">SUMIF('Database '!$A$11:$A$22,A72,'Database '!$G$11:$G$22)*(1+Table2[[#This Row],[Growth Percentage]])^(Table2[[#Headers],[2029]]-YEAR(TODAY()))</f>
        <v>222053003.9086622</v>
      </c>
      <c r="F72" s="5">
        <f ca="1">SUMIF('Database '!$A$11:$A$22,A72,'Database '!$G$11:$G$22)*(1+Table2[[#This Row],[Growth Percentage]])^(Table2[[#Headers],[2030]]-YEAR(TODAY()))</f>
        <v>246478834.33861506</v>
      </c>
      <c r="G72" s="5">
        <f ca="1">SUMIF('Database '!$A$11:$A$22,A72,'Database '!$G$11:$G$22)*(1+Table2[[#This Row],[Growth Percentage]])^(Table2[[#Headers],[2031]]-YEAR(TODAY()))</f>
        <v>273591506.11586273</v>
      </c>
      <c r="H72" s="5">
        <f ca="1">SUMIF('Database '!$A$11:$A$22,A72,'Database '!$G$11:$G$22)*(1+Table2[[#This Row],[Growth Percentage]])^(Table2[[#Headers],[2032]]-YEAR(TODAY()))</f>
        <v>303686571.78860766</v>
      </c>
      <c r="I72" s="5">
        <f ca="1">SUMIF('Database '!$A$11:$A$22,A72,'Database '!$G$11:$G$22)*(1+Table2[[#This Row],[Growth Percentage]])^(Table2[[#Headers],[2033]]-YEAR(TODAY()))</f>
        <v>337092094.68535447</v>
      </c>
      <c r="J72" s="5">
        <f ca="1">SUMIF('Database '!$A$11:$A$22,A72,'Database '!$G$11:$G$22)*(1+Table2[[#This Row],[Growth Percentage]])^(Table2[[#Headers],[2034]]-YEAR(TODAY()))</f>
        <v>374172225.10074359</v>
      </c>
      <c r="K72" s="5">
        <f ca="1">SUMIF('Database '!$A$11:$A$22,A72,'Database '!$G$11:$G$22)*(1+Table2[[#This Row],[Growth Percentage]])^(Table2[[#Headers],[2035]]-YEAR(TODAY()))</f>
        <v>415331169.86182541</v>
      </c>
      <c r="L72" s="5">
        <f ca="1">SUMIF('Database '!$A$11:$A$22,A72,'Database '!$G$11:$G$22)*(1+Table2[[#This Row],[Growth Percentage]])^(Table2[[#Headers],[2036]]-YEAR(TODAY()))</f>
        <v>461017598.54662627</v>
      </c>
    </row>
    <row r="73" spans="1:12">
      <c r="A73" t="str">
        <f>'Database '!$A$19</f>
        <v>ITMG</v>
      </c>
      <c r="B73" s="10">
        <f>'Database '!I28</f>
        <v>0.12</v>
      </c>
      <c r="C73" s="5">
        <f ca="1">SUMIF('Database '!$A$11:$A$22,A73,'Database '!$G$11:$G$22)*(1+Table2[[#This Row],[Growth Percentage]])^(Table2[[#Headers],[2027]]-YEAR(TODAY()))</f>
        <v>181846831.76800004</v>
      </c>
      <c r="D73" s="5">
        <f ca="1">SUMIF('Database '!$A$11:$A$22,A73,'Database '!$G$11:$G$22)*(1+Table2[[#This Row],[Growth Percentage]])^(Table2[[#Headers],[2028]]-YEAR(TODAY()))</f>
        <v>203668451.58016005</v>
      </c>
      <c r="E73" s="5">
        <f ca="1">SUMIF('Database '!$A$11:$A$22,A73,'Database '!$G$11:$G$22)*(1+Table2[[#This Row],[Growth Percentage]])^(Table2[[#Headers],[2029]]-YEAR(TODAY()))</f>
        <v>228108665.76977926</v>
      </c>
      <c r="F73" s="5">
        <f ca="1">SUMIF('Database '!$A$11:$A$22,A73,'Database '!$G$11:$G$22)*(1+Table2[[#This Row],[Growth Percentage]])^(Table2[[#Headers],[2030]]-YEAR(TODAY()))</f>
        <v>255481705.66215277</v>
      </c>
      <c r="G73" s="5">
        <f ca="1">SUMIF('Database '!$A$11:$A$22,A73,'Database '!$G$11:$G$22)*(1+Table2[[#This Row],[Growth Percentage]])^(Table2[[#Headers],[2031]]-YEAR(TODAY()))</f>
        <v>286139510.34161115</v>
      </c>
      <c r="H73" s="5">
        <f ca="1">SUMIF('Database '!$A$11:$A$22,A73,'Database '!$G$11:$G$22)*(1+Table2[[#This Row],[Growth Percentage]])^(Table2[[#Headers],[2032]]-YEAR(TODAY()))</f>
        <v>320476251.58260453</v>
      </c>
      <c r="I73" s="5">
        <f ca="1">SUMIF('Database '!$A$11:$A$22,A73,'Database '!$G$11:$G$22)*(1+Table2[[#This Row],[Growth Percentage]])^(Table2[[#Headers],[2033]]-YEAR(TODAY()))</f>
        <v>358933401.77251703</v>
      </c>
      <c r="J73" s="5">
        <f ca="1">SUMIF('Database '!$A$11:$A$22,A73,'Database '!$G$11:$G$22)*(1+Table2[[#This Row],[Growth Percentage]])^(Table2[[#Headers],[2034]]-YEAR(TODAY()))</f>
        <v>402005409.98521912</v>
      </c>
      <c r="K73" s="5">
        <f ca="1">SUMIF('Database '!$A$11:$A$22,A73,'Database '!$G$11:$G$22)*(1+Table2[[#This Row],[Growth Percentage]])^(Table2[[#Headers],[2035]]-YEAR(TODAY()))</f>
        <v>450246059.18344545</v>
      </c>
      <c r="L73" s="5">
        <f ca="1">SUMIF('Database '!$A$11:$A$22,A73,'Database '!$G$11:$G$22)*(1+Table2[[#This Row],[Growth Percentage]])^(Table2[[#Headers],[2036]]-YEAR(TODAY()))</f>
        <v>504275586.28545892</v>
      </c>
    </row>
    <row r="74" spans="1:12">
      <c r="A74" t="str">
        <f>'Database '!$A$20</f>
        <v>TLKM</v>
      </c>
      <c r="B74" s="11">
        <f>'Database '!B28</f>
        <v>0.06</v>
      </c>
      <c r="C74" s="5">
        <f ca="1">SUMIF('Database '!$A$11:$A$22,A74,'Database '!$G$11:$G$22)*(1+Table2[[#This Row],[Growth Percentage]])^(Table2[[#Headers],[2027]]-YEAR(TODAY()))</f>
        <v>58545450.022500001</v>
      </c>
      <c r="D74" s="5">
        <f ca="1">SUMIF('Database '!$A$11:$A$22,A74,'Database '!$G$11:$G$22)*(1+Table2[[#This Row],[Growth Percentage]])^(Table2[[#Headers],[2028]]-YEAR(TODAY()))</f>
        <v>62058177.023850009</v>
      </c>
      <c r="E74" s="5">
        <f ca="1">SUMIF('Database '!$A$11:$A$22,A74,'Database '!$G$11:$G$22)*(1+Table2[[#This Row],[Growth Percentage]])^(Table2[[#Headers],[2029]]-YEAR(TODAY()))</f>
        <v>65781667.645281017</v>
      </c>
      <c r="F74" s="5">
        <f ca="1">SUMIF('Database '!$A$11:$A$22,A74,'Database '!$G$11:$G$22)*(1+Table2[[#This Row],[Growth Percentage]])^(Table2[[#Headers],[2030]]-YEAR(TODAY()))</f>
        <v>69728567.70399788</v>
      </c>
      <c r="G74" s="5">
        <f ca="1">SUMIF('Database '!$A$11:$A$22,A74,'Database '!$G$11:$G$22)*(1+Table2[[#This Row],[Growth Percentage]])^(Table2[[#Headers],[2031]]-YEAR(TODAY()))</f>
        <v>73912281.766237766</v>
      </c>
      <c r="H74" s="5">
        <f ca="1">SUMIF('Database '!$A$11:$A$22,A74,'Database '!$G$11:$G$22)*(1+Table2[[#This Row],[Growth Percentage]])^(Table2[[#Headers],[2032]]-YEAR(TODAY()))</f>
        <v>78347018.672212034</v>
      </c>
      <c r="I74" s="5">
        <f ca="1">SUMIF('Database '!$A$11:$A$22,A74,'Database '!$G$11:$G$22)*(1+Table2[[#This Row],[Growth Percentage]])^(Table2[[#Headers],[2033]]-YEAR(TODAY()))</f>
        <v>83047839.792544767</v>
      </c>
      <c r="J74" s="5">
        <f ca="1">SUMIF('Database '!$A$11:$A$22,A74,'Database '!$G$11:$G$22)*(1+Table2[[#This Row],[Growth Percentage]])^(Table2[[#Headers],[2034]]-YEAR(TODAY()))</f>
        <v>88030710.180097431</v>
      </c>
      <c r="K74" s="5">
        <f ca="1">SUMIF('Database '!$A$11:$A$22,A74,'Database '!$G$11:$G$22)*(1+Table2[[#This Row],[Growth Percentage]])^(Table2[[#Headers],[2035]]-YEAR(TODAY()))</f>
        <v>93312552.790903285</v>
      </c>
      <c r="L74" s="5">
        <f ca="1">SUMIF('Database '!$A$11:$A$22,A74,'Database '!$G$11:$G$22)*(1+Table2[[#This Row],[Growth Percentage]])^(Table2[[#Headers],[2036]]-YEAR(TODAY()))</f>
        <v>98911305.958357483</v>
      </c>
    </row>
    <row r="75" spans="1:12">
      <c r="A75" t="str">
        <f>'Database '!$A$20</f>
        <v>TLKM</v>
      </c>
      <c r="B75" s="10">
        <f>'Database '!C28</f>
        <v>7.0000000000000007E-2</v>
      </c>
      <c r="C75" s="5">
        <f ca="1">SUMIF('Database '!$A$11:$A$22,A75,'Database '!$G$11:$G$22)*(1+Table2[[#This Row],[Growth Percentage]])^(Table2[[#Headers],[2027]]-YEAR(TODAY()))</f>
        <v>59097765.588750005</v>
      </c>
      <c r="D75" s="5">
        <f ca="1">SUMIF('Database '!$A$11:$A$22,A75,'Database '!$G$11:$G$22)*(1+Table2[[#This Row],[Growth Percentage]])^(Table2[[#Headers],[2028]]-YEAR(TODAY()))</f>
        <v>63234609.179962501</v>
      </c>
      <c r="E75" s="5">
        <f ca="1">SUMIF('Database '!$A$11:$A$22,A75,'Database '!$G$11:$G$22)*(1+Table2[[#This Row],[Growth Percentage]])^(Table2[[#Headers],[2029]]-YEAR(TODAY()))</f>
        <v>67661031.822559878</v>
      </c>
      <c r="F75" s="5">
        <f ca="1">SUMIF('Database '!$A$11:$A$22,A75,'Database '!$G$11:$G$22)*(1+Table2[[#This Row],[Growth Percentage]])^(Table2[[#Headers],[2030]]-YEAR(TODAY()))</f>
        <v>72397304.05013907</v>
      </c>
      <c r="G75" s="5">
        <f ca="1">SUMIF('Database '!$A$11:$A$22,A75,'Database '!$G$11:$G$22)*(1+Table2[[#This Row],[Growth Percentage]])^(Table2[[#Headers],[2031]]-YEAR(TODAY()))</f>
        <v>77465115.333648816</v>
      </c>
      <c r="H75" s="5">
        <f ca="1">SUMIF('Database '!$A$11:$A$22,A75,'Database '!$G$11:$G$22)*(1+Table2[[#This Row],[Growth Percentage]])^(Table2[[#Headers],[2032]]-YEAR(TODAY()))</f>
        <v>82887673.407004222</v>
      </c>
      <c r="I75" s="5">
        <f ca="1">SUMIF('Database '!$A$11:$A$22,A75,'Database '!$G$11:$G$22)*(1+Table2[[#This Row],[Growth Percentage]])^(Table2[[#Headers],[2033]]-YEAR(TODAY()))</f>
        <v>88689810.545494527</v>
      </c>
      <c r="J75" s="5">
        <f ca="1">SUMIF('Database '!$A$11:$A$22,A75,'Database '!$G$11:$G$22)*(1+Table2[[#This Row],[Growth Percentage]])^(Table2[[#Headers],[2034]]-YEAR(TODAY()))</f>
        <v>94898097.283679143</v>
      </c>
      <c r="K75" s="5">
        <f ca="1">SUMIF('Database '!$A$11:$A$22,A75,'Database '!$G$11:$G$22)*(1+Table2[[#This Row],[Growth Percentage]])^(Table2[[#Headers],[2035]]-YEAR(TODAY()))</f>
        <v>101540964.09353669</v>
      </c>
      <c r="L75" s="5">
        <f ca="1">SUMIF('Database '!$A$11:$A$22,A75,'Database '!$G$11:$G$22)*(1+Table2[[#This Row],[Growth Percentage]])^(Table2[[#Headers],[2036]]-YEAR(TODAY()))</f>
        <v>108648831.58008425</v>
      </c>
    </row>
    <row r="76" spans="1:12">
      <c r="A76" t="str">
        <f>'Database '!$A$20</f>
        <v>TLKM</v>
      </c>
      <c r="B76" s="11">
        <f>'Database '!D28</f>
        <v>0.08</v>
      </c>
      <c r="C76" s="5">
        <f ca="1">SUMIF('Database '!$A$11:$A$22,A76,'Database '!$G$11:$G$22)*(1+Table2[[#This Row],[Growth Percentage]])^(Table2[[#Headers],[2027]]-YEAR(TODAY()))</f>
        <v>59650081.155000001</v>
      </c>
      <c r="D76" s="5">
        <f ca="1">SUMIF('Database '!$A$11:$A$22,A76,'Database '!$G$11:$G$22)*(1+Table2[[#This Row],[Growth Percentage]])^(Table2[[#Headers],[2028]]-YEAR(TODAY()))</f>
        <v>64422087.647400007</v>
      </c>
      <c r="E76" s="5">
        <f ca="1">SUMIF('Database '!$A$11:$A$22,A76,'Database '!$G$11:$G$22)*(1+Table2[[#This Row],[Growth Percentage]])^(Table2[[#Headers],[2029]]-YEAR(TODAY()))</f>
        <v>69575854.659192011</v>
      </c>
      <c r="F76" s="5">
        <f ca="1">SUMIF('Database '!$A$11:$A$22,A76,'Database '!$G$11:$G$22)*(1+Table2[[#This Row],[Growth Percentage]])^(Table2[[#Headers],[2030]]-YEAR(TODAY()))</f>
        <v>75141923.031927377</v>
      </c>
      <c r="G76" s="5">
        <f ca="1">SUMIF('Database '!$A$11:$A$22,A76,'Database '!$G$11:$G$22)*(1+Table2[[#This Row],[Growth Percentage]])^(Table2[[#Headers],[2031]]-YEAR(TODAY()))</f>
        <v>81153276.874481574</v>
      </c>
      <c r="H76" s="5">
        <f ca="1">SUMIF('Database '!$A$11:$A$22,A76,'Database '!$G$11:$G$22)*(1+Table2[[#This Row],[Growth Percentage]])^(Table2[[#Headers],[2032]]-YEAR(TODAY()))</f>
        <v>87645539.02444011</v>
      </c>
      <c r="I76" s="5">
        <f ca="1">SUMIF('Database '!$A$11:$A$22,A76,'Database '!$G$11:$G$22)*(1+Table2[[#This Row],[Growth Percentage]])^(Table2[[#Headers],[2033]]-YEAR(TODAY()))</f>
        <v>94657182.146395311</v>
      </c>
      <c r="J76" s="5">
        <f ca="1">SUMIF('Database '!$A$11:$A$22,A76,'Database '!$G$11:$G$22)*(1+Table2[[#This Row],[Growth Percentage]])^(Table2[[#Headers],[2034]]-YEAR(TODAY()))</f>
        <v>102229756.71810694</v>
      </c>
      <c r="K76" s="5">
        <f ca="1">SUMIF('Database '!$A$11:$A$22,A76,'Database '!$G$11:$G$22)*(1+Table2[[#This Row],[Growth Percentage]])^(Table2[[#Headers],[2035]]-YEAR(TODAY()))</f>
        <v>110408137.25555551</v>
      </c>
      <c r="L76" s="5">
        <f ca="1">SUMIF('Database '!$A$11:$A$22,A76,'Database '!$G$11:$G$22)*(1+Table2[[#This Row],[Growth Percentage]])^(Table2[[#Headers],[2036]]-YEAR(TODAY()))</f>
        <v>119240788.23599994</v>
      </c>
    </row>
    <row r="77" spans="1:12">
      <c r="A77" t="str">
        <f>'Database '!$A$20</f>
        <v>TLKM</v>
      </c>
      <c r="B77" s="10">
        <f>'Database '!E28</f>
        <v>0.09</v>
      </c>
      <c r="C77" s="5">
        <f ca="1">SUMIF('Database '!$A$11:$A$22,A77,'Database '!$G$11:$G$22)*(1+Table2[[#This Row],[Growth Percentage]])^(Table2[[#Headers],[2027]]-YEAR(TODAY()))</f>
        <v>60202396.721250005</v>
      </c>
      <c r="D77" s="5">
        <f ca="1">SUMIF('Database '!$A$11:$A$22,A77,'Database '!$G$11:$G$22)*(1+Table2[[#This Row],[Growth Percentage]])^(Table2[[#Headers],[2028]]-YEAR(TODAY()))</f>
        <v>65620612.426162511</v>
      </c>
      <c r="E77" s="5">
        <f ca="1">SUMIF('Database '!$A$11:$A$22,A77,'Database '!$G$11:$G$22)*(1+Table2[[#This Row],[Growth Percentage]])^(Table2[[#Headers],[2029]]-YEAR(TODAY()))</f>
        <v>71526467.54451713</v>
      </c>
      <c r="F77" s="5">
        <f ca="1">SUMIF('Database '!$A$11:$A$22,A77,'Database '!$G$11:$G$22)*(1+Table2[[#This Row],[Growth Percentage]])^(Table2[[#Headers],[2030]]-YEAR(TODAY()))</f>
        <v>77963849.623523682</v>
      </c>
      <c r="G77" s="5">
        <f ca="1">SUMIF('Database '!$A$11:$A$22,A77,'Database '!$G$11:$G$22)*(1+Table2[[#This Row],[Growth Percentage]])^(Table2[[#Headers],[2031]]-YEAR(TODAY()))</f>
        <v>84980596.089640826</v>
      </c>
      <c r="H77" s="5">
        <f ca="1">SUMIF('Database '!$A$11:$A$22,A77,'Database '!$G$11:$G$22)*(1+Table2[[#This Row],[Growth Percentage]])^(Table2[[#Headers],[2032]]-YEAR(TODAY()))</f>
        <v>92628849.737708509</v>
      </c>
      <c r="I77" s="5">
        <f ca="1">SUMIF('Database '!$A$11:$A$22,A77,'Database '!$G$11:$G$22)*(1+Table2[[#This Row],[Growth Percentage]])^(Table2[[#Headers],[2033]]-YEAR(TODAY()))</f>
        <v>100965446.21410227</v>
      </c>
      <c r="J77" s="5">
        <f ca="1">SUMIF('Database '!$A$11:$A$22,A77,'Database '!$G$11:$G$22)*(1+Table2[[#This Row],[Growth Percentage]])^(Table2[[#Headers],[2034]]-YEAR(TODAY()))</f>
        <v>110052336.37337148</v>
      </c>
      <c r="K77" s="5">
        <f ca="1">SUMIF('Database '!$A$11:$A$22,A77,'Database '!$G$11:$G$22)*(1+Table2[[#This Row],[Growth Percentage]])^(Table2[[#Headers],[2035]]-YEAR(TODAY()))</f>
        <v>119957046.64697492</v>
      </c>
      <c r="L77" s="5">
        <f ca="1">SUMIF('Database '!$A$11:$A$22,A77,'Database '!$G$11:$G$22)*(1+Table2[[#This Row],[Growth Percentage]])^(Table2[[#Headers],[2036]]-YEAR(TODAY()))</f>
        <v>130753180.84520268</v>
      </c>
    </row>
    <row r="78" spans="1:12">
      <c r="A78" t="str">
        <f>'Database '!$A$20</f>
        <v>TLKM</v>
      </c>
      <c r="B78" s="11">
        <f>'Database '!F28</f>
        <v>9.5000000000000001E-2</v>
      </c>
      <c r="C78" s="5">
        <f ca="1">SUMIF('Database '!$A$11:$A$22,A78,'Database '!$G$11:$G$22)*(1+Table2[[#This Row],[Growth Percentage]])^(Table2[[#Headers],[2027]]-YEAR(TODAY()))</f>
        <v>60478554.504374996</v>
      </c>
      <c r="D78" s="5">
        <f ca="1">SUMIF('Database '!$A$11:$A$22,A78,'Database '!$G$11:$G$22)*(1+Table2[[#This Row],[Growth Percentage]])^(Table2[[#Headers],[2028]]-YEAR(TODAY()))</f>
        <v>66224017.182290629</v>
      </c>
      <c r="E78" s="5">
        <f ca="1">SUMIF('Database '!$A$11:$A$22,A78,'Database '!$G$11:$G$22)*(1+Table2[[#This Row],[Growth Percentage]])^(Table2[[#Headers],[2029]]-YEAR(TODAY()))</f>
        <v>72515298.814608231</v>
      </c>
      <c r="F78" s="5">
        <f ca="1">SUMIF('Database '!$A$11:$A$22,A78,'Database '!$G$11:$G$22)*(1+Table2[[#This Row],[Growth Percentage]])^(Table2[[#Headers],[2030]]-YEAR(TODAY()))</f>
        <v>79404252.201996014</v>
      </c>
      <c r="G78" s="5">
        <f ca="1">SUMIF('Database '!$A$11:$A$22,A78,'Database '!$G$11:$G$22)*(1+Table2[[#This Row],[Growth Percentage]])^(Table2[[#Headers],[2031]]-YEAR(TODAY()))</f>
        <v>86947656.161185637</v>
      </c>
      <c r="H78" s="5">
        <f ca="1">SUMIF('Database '!$A$11:$A$22,A78,'Database '!$G$11:$G$22)*(1+Table2[[#This Row],[Growth Percentage]])^(Table2[[#Headers],[2032]]-YEAR(TODAY()))</f>
        <v>95207683.496498272</v>
      </c>
      <c r="I78" s="5">
        <f ca="1">SUMIF('Database '!$A$11:$A$22,A78,'Database '!$G$11:$G$22)*(1+Table2[[#This Row],[Growth Percentage]])^(Table2[[#Headers],[2033]]-YEAR(TODAY()))</f>
        <v>104252413.42866561</v>
      </c>
      <c r="J78" s="5">
        <f ca="1">SUMIF('Database '!$A$11:$A$22,A78,'Database '!$G$11:$G$22)*(1+Table2[[#This Row],[Growth Percentage]])^(Table2[[#Headers],[2034]]-YEAR(TODAY()))</f>
        <v>114156392.70438884</v>
      </c>
      <c r="K78" s="5">
        <f ca="1">SUMIF('Database '!$A$11:$A$22,A78,'Database '!$G$11:$G$22)*(1+Table2[[#This Row],[Growth Percentage]])^(Table2[[#Headers],[2035]]-YEAR(TODAY()))</f>
        <v>125001250.01130578</v>
      </c>
      <c r="L78" s="5">
        <f ca="1">SUMIF('Database '!$A$11:$A$22,A78,'Database '!$G$11:$G$22)*(1+Table2[[#This Row],[Growth Percentage]])^(Table2[[#Headers],[2036]]-YEAR(TODAY()))</f>
        <v>136876368.76237985</v>
      </c>
    </row>
    <row r="79" spans="1:12">
      <c r="A79" t="str">
        <f>'Database '!$A$20</f>
        <v>TLKM</v>
      </c>
      <c r="B79" s="11">
        <f>'Database '!G28</f>
        <v>0.1</v>
      </c>
      <c r="C79" s="5">
        <f ca="1">SUMIF('Database '!$A$11:$A$22,A79,'Database '!$G$11:$G$22)*(1+Table2[[#This Row],[Growth Percentage]])^(Table2[[#Headers],[2027]]-YEAR(TODAY()))</f>
        <v>60754712.287500001</v>
      </c>
      <c r="D79" s="5">
        <f ca="1">SUMIF('Database '!$A$11:$A$22,A79,'Database '!$G$11:$G$22)*(1+Table2[[#This Row],[Growth Percentage]])^(Table2[[#Headers],[2028]]-YEAR(TODAY()))</f>
        <v>66830183.516250007</v>
      </c>
      <c r="E79" s="5">
        <f ca="1">SUMIF('Database '!$A$11:$A$22,A79,'Database '!$G$11:$G$22)*(1+Table2[[#This Row],[Growth Percentage]])^(Table2[[#Headers],[2029]]-YEAR(TODAY()))</f>
        <v>73513201.867875025</v>
      </c>
      <c r="F79" s="5">
        <f ca="1">SUMIF('Database '!$A$11:$A$22,A79,'Database '!$G$11:$G$22)*(1+Table2[[#This Row],[Growth Percentage]])^(Table2[[#Headers],[2030]]-YEAR(TODAY()))</f>
        <v>80864522.054662526</v>
      </c>
      <c r="G79" s="5">
        <f ca="1">SUMIF('Database '!$A$11:$A$22,A79,'Database '!$G$11:$G$22)*(1+Table2[[#This Row],[Growth Percentage]])^(Table2[[#Headers],[2031]]-YEAR(TODAY()))</f>
        <v>88950974.260128781</v>
      </c>
      <c r="H79" s="5">
        <f ca="1">SUMIF('Database '!$A$11:$A$22,A79,'Database '!$G$11:$G$22)*(1+Table2[[#This Row],[Growth Percentage]])^(Table2[[#Headers],[2032]]-YEAR(TODAY()))</f>
        <v>97846071.68614167</v>
      </c>
      <c r="I79" s="5">
        <f ca="1">SUMIF('Database '!$A$11:$A$22,A79,'Database '!$G$11:$G$22)*(1+Table2[[#This Row],[Growth Percentage]])^(Table2[[#Headers],[2033]]-YEAR(TODAY()))</f>
        <v>107630678.85475585</v>
      </c>
      <c r="J79" s="5">
        <f ca="1">SUMIF('Database '!$A$11:$A$22,A79,'Database '!$G$11:$G$22)*(1+Table2[[#This Row],[Growth Percentage]])^(Table2[[#Headers],[2034]]-YEAR(TODAY()))</f>
        <v>118393746.74023142</v>
      </c>
      <c r="K79" s="5">
        <f ca="1">SUMIF('Database '!$A$11:$A$22,A79,'Database '!$G$11:$G$22)*(1+Table2[[#This Row],[Growth Percentage]])^(Table2[[#Headers],[2035]]-YEAR(TODAY()))</f>
        <v>130233121.41425458</v>
      </c>
      <c r="L79" s="5">
        <f ca="1">SUMIF('Database '!$A$11:$A$22,A79,'Database '!$G$11:$G$22)*(1+Table2[[#This Row],[Growth Percentage]])^(Table2[[#Headers],[2036]]-YEAR(TODAY()))</f>
        <v>143256433.55568007</v>
      </c>
    </row>
    <row r="80" spans="1:12">
      <c r="A80" t="str">
        <f>'Database '!$A$20</f>
        <v>TLKM</v>
      </c>
      <c r="B80" s="10">
        <f>'Database '!H28</f>
        <v>0.11</v>
      </c>
      <c r="C80" s="5">
        <f ca="1">SUMIF('Database '!$A$11:$A$22,A80,'Database '!$G$11:$G$22)*(1+Table2[[#This Row],[Growth Percentage]])^(Table2[[#Headers],[2027]]-YEAR(TODAY()))</f>
        <v>61307027.853750005</v>
      </c>
      <c r="D80" s="5">
        <f ca="1">SUMIF('Database '!$A$11:$A$22,A80,'Database '!$G$11:$G$22)*(1+Table2[[#This Row],[Growth Percentage]])^(Table2[[#Headers],[2028]]-YEAR(TODAY()))</f>
        <v>68050800.917662516</v>
      </c>
      <c r="E80" s="5">
        <f ca="1">SUMIF('Database '!$A$11:$A$22,A80,'Database '!$G$11:$G$22)*(1+Table2[[#This Row],[Growth Percentage]])^(Table2[[#Headers],[2029]]-YEAR(TODAY()))</f>
        <v>75536389.018605396</v>
      </c>
      <c r="F80" s="5">
        <f ca="1">SUMIF('Database '!$A$11:$A$22,A80,'Database '!$G$11:$G$22)*(1+Table2[[#This Row],[Growth Percentage]])^(Table2[[#Headers],[2030]]-YEAR(TODAY()))</f>
        <v>83845391.810651988</v>
      </c>
      <c r="G80" s="5">
        <f ca="1">SUMIF('Database '!$A$11:$A$22,A80,'Database '!$G$11:$G$22)*(1+Table2[[#This Row],[Growth Percentage]])^(Table2[[#Headers],[2031]]-YEAR(TODAY()))</f>
        <v>93068384.909823716</v>
      </c>
      <c r="H80" s="5">
        <f ca="1">SUMIF('Database '!$A$11:$A$22,A80,'Database '!$G$11:$G$22)*(1+Table2[[#This Row],[Growth Percentage]])^(Table2[[#Headers],[2032]]-YEAR(TODAY()))</f>
        <v>103305907.24990433</v>
      </c>
      <c r="I80" s="5">
        <f ca="1">SUMIF('Database '!$A$11:$A$22,A80,'Database '!$G$11:$G$22)*(1+Table2[[#This Row],[Growth Percentage]])^(Table2[[#Headers],[2033]]-YEAR(TODAY()))</f>
        <v>114669557.0473938</v>
      </c>
      <c r="J80" s="5">
        <f ca="1">SUMIF('Database '!$A$11:$A$22,A80,'Database '!$G$11:$G$22)*(1+Table2[[#This Row],[Growth Percentage]])^(Table2[[#Headers],[2034]]-YEAR(TODAY()))</f>
        <v>127283208.32260714</v>
      </c>
      <c r="K80" s="5">
        <f ca="1">SUMIF('Database '!$A$11:$A$22,A80,'Database '!$G$11:$G$22)*(1+Table2[[#This Row],[Growth Percentage]])^(Table2[[#Headers],[2035]]-YEAR(TODAY()))</f>
        <v>141284361.23809394</v>
      </c>
      <c r="L80" s="5">
        <f ca="1">SUMIF('Database '!$A$11:$A$22,A80,'Database '!$G$11:$G$22)*(1+Table2[[#This Row],[Growth Percentage]])^(Table2[[#Headers],[2036]]-YEAR(TODAY()))</f>
        <v>156825640.97428432</v>
      </c>
    </row>
    <row r="81" spans="1:12">
      <c r="A81" t="str">
        <f>'Database '!$A$20</f>
        <v>TLKM</v>
      </c>
      <c r="B81" s="10">
        <f>'Database '!I28</f>
        <v>0.12</v>
      </c>
      <c r="C81" s="5">
        <f ca="1">SUMIF('Database '!$A$11:$A$22,A81,'Database '!$G$11:$G$22)*(1+Table2[[#This Row],[Growth Percentage]])^(Table2[[#Headers],[2027]]-YEAR(TODAY()))</f>
        <v>61859343.420000009</v>
      </c>
      <c r="D81" s="5">
        <f ca="1">SUMIF('Database '!$A$11:$A$22,A81,'Database '!$G$11:$G$22)*(1+Table2[[#This Row],[Growth Percentage]])^(Table2[[#Headers],[2028]]-YEAR(TODAY()))</f>
        <v>69282464.630400017</v>
      </c>
      <c r="E81" s="5">
        <f ca="1">SUMIF('Database '!$A$11:$A$22,A81,'Database '!$G$11:$G$22)*(1+Table2[[#This Row],[Growth Percentage]])^(Table2[[#Headers],[2029]]-YEAR(TODAY()))</f>
        <v>77596360.386048019</v>
      </c>
      <c r="F81" s="5">
        <f ca="1">SUMIF('Database '!$A$11:$A$22,A81,'Database '!$G$11:$G$22)*(1+Table2[[#This Row],[Growth Percentage]])^(Table2[[#Headers],[2030]]-YEAR(TODAY()))</f>
        <v>86907923.63237378</v>
      </c>
      <c r="G81" s="5">
        <f ca="1">SUMIF('Database '!$A$11:$A$22,A81,'Database '!$G$11:$G$22)*(1+Table2[[#This Row],[Growth Percentage]])^(Table2[[#Headers],[2031]]-YEAR(TODAY()))</f>
        <v>97336874.468258634</v>
      </c>
      <c r="H81" s="5">
        <f ca="1">SUMIF('Database '!$A$11:$A$22,A81,'Database '!$G$11:$G$22)*(1+Table2[[#This Row],[Growth Percentage]])^(Table2[[#Headers],[2032]]-YEAR(TODAY()))</f>
        <v>109017299.40444969</v>
      </c>
      <c r="I81" s="5">
        <f ca="1">SUMIF('Database '!$A$11:$A$22,A81,'Database '!$G$11:$G$22)*(1+Table2[[#This Row],[Growth Percentage]])^(Table2[[#Headers],[2033]]-YEAR(TODAY()))</f>
        <v>122099375.33298366</v>
      </c>
      <c r="J81" s="5">
        <f ca="1">SUMIF('Database '!$A$11:$A$22,A81,'Database '!$G$11:$G$22)*(1+Table2[[#This Row],[Growth Percentage]])^(Table2[[#Headers],[2034]]-YEAR(TODAY()))</f>
        <v>136751300.3729417</v>
      </c>
      <c r="K81" s="5">
        <f ca="1">SUMIF('Database '!$A$11:$A$22,A81,'Database '!$G$11:$G$22)*(1+Table2[[#This Row],[Growth Percentage]])^(Table2[[#Headers],[2035]]-YEAR(TODAY()))</f>
        <v>153161456.41769472</v>
      </c>
      <c r="L81" s="5">
        <f ca="1">SUMIF('Database '!$A$11:$A$22,A81,'Database '!$G$11:$G$22)*(1+Table2[[#This Row],[Growth Percentage]])^(Table2[[#Headers],[2036]]-YEAR(TODAY()))</f>
        <v>171540831.18781811</v>
      </c>
    </row>
    <row r="82" spans="1:12">
      <c r="A82" t="str">
        <f>'Database '!$A$21</f>
        <v>UNTR</v>
      </c>
      <c r="B82" s="11">
        <f>'Database '!B28</f>
        <v>0.06</v>
      </c>
      <c r="C82" s="5">
        <f ca="1">SUMIF('Database '!$A$11:$A$22,A82,'Database '!$G$11:$G$22)*(1+Table2[[#This Row],[Growth Percentage]])^(Table2[[#Headers],[2027]]-YEAR(TODAY()))</f>
        <v>189858247.95868</v>
      </c>
      <c r="D82" s="5">
        <f ca="1">SUMIF('Database '!$A$11:$A$22,A82,'Database '!$G$11:$G$22)*(1+Table2[[#This Row],[Growth Percentage]])^(Table2[[#Headers],[2028]]-YEAR(TODAY()))</f>
        <v>201249742.83620083</v>
      </c>
      <c r="E82" s="5">
        <f ca="1">SUMIF('Database '!$A$11:$A$22,A82,'Database '!$G$11:$G$22)*(1+Table2[[#This Row],[Growth Percentage]])^(Table2[[#Headers],[2029]]-YEAR(TODAY()))</f>
        <v>213324727.4063729</v>
      </c>
      <c r="F82" s="5">
        <f ca="1">SUMIF('Database '!$A$11:$A$22,A82,'Database '!$G$11:$G$22)*(1+Table2[[#This Row],[Growth Percentage]])^(Table2[[#Headers],[2030]]-YEAR(TODAY()))</f>
        <v>226124211.05075529</v>
      </c>
      <c r="G82" s="5">
        <f ca="1">SUMIF('Database '!$A$11:$A$22,A82,'Database '!$G$11:$G$22)*(1+Table2[[#This Row],[Growth Percentage]])^(Table2[[#Headers],[2031]]-YEAR(TODAY()))</f>
        <v>239691663.71380064</v>
      </c>
      <c r="H82" s="5">
        <f ca="1">SUMIF('Database '!$A$11:$A$22,A82,'Database '!$G$11:$G$22)*(1+Table2[[#This Row],[Growth Percentage]])^(Table2[[#Headers],[2032]]-YEAR(TODAY()))</f>
        <v>254073163.53662866</v>
      </c>
      <c r="I82" s="5">
        <f ca="1">SUMIF('Database '!$A$11:$A$22,A82,'Database '!$G$11:$G$22)*(1+Table2[[#This Row],[Growth Percentage]])^(Table2[[#Headers],[2033]]-YEAR(TODAY()))</f>
        <v>269317553.34882641</v>
      </c>
      <c r="J82" s="5">
        <f ca="1">SUMIF('Database '!$A$11:$A$22,A82,'Database '!$G$11:$G$22)*(1+Table2[[#This Row],[Growth Percentage]])^(Table2[[#Headers],[2034]]-YEAR(TODAY()))</f>
        <v>285476606.54975599</v>
      </c>
      <c r="K82" s="5">
        <f ca="1">SUMIF('Database '!$A$11:$A$22,A82,'Database '!$G$11:$G$22)*(1+Table2[[#This Row],[Growth Percentage]])^(Table2[[#Headers],[2035]]-YEAR(TODAY()))</f>
        <v>302605202.94274133</v>
      </c>
      <c r="L82" s="5">
        <f ca="1">SUMIF('Database '!$A$11:$A$22,A82,'Database '!$G$11:$G$22)*(1+Table2[[#This Row],[Growth Percentage]])^(Table2[[#Headers],[2036]]-YEAR(TODAY()))</f>
        <v>320761515.11930585</v>
      </c>
    </row>
    <row r="83" spans="1:12">
      <c r="A83" t="str">
        <f>'Database '!$A$21</f>
        <v>UNTR</v>
      </c>
      <c r="B83" s="10">
        <f>'Database '!C28</f>
        <v>7.0000000000000007E-2</v>
      </c>
      <c r="C83" s="5">
        <f ca="1">SUMIF('Database '!$A$11:$A$22,A83,'Database '!$G$11:$G$22)*(1+Table2[[#This Row],[Growth Percentage]])^(Table2[[#Headers],[2027]]-YEAR(TODAY()))</f>
        <v>191649363.50546002</v>
      </c>
      <c r="D83" s="5">
        <f ca="1">SUMIF('Database '!$A$11:$A$22,A83,'Database '!$G$11:$G$22)*(1+Table2[[#This Row],[Growth Percentage]])^(Table2[[#Headers],[2028]]-YEAR(TODAY()))</f>
        <v>205064818.9508422</v>
      </c>
      <c r="E83" s="5">
        <f ca="1">SUMIF('Database '!$A$11:$A$22,A83,'Database '!$G$11:$G$22)*(1+Table2[[#This Row],[Growth Percentage]])^(Table2[[#Headers],[2029]]-YEAR(TODAY()))</f>
        <v>219419356.27740118</v>
      </c>
      <c r="F83" s="5">
        <f ca="1">SUMIF('Database '!$A$11:$A$22,A83,'Database '!$G$11:$G$22)*(1+Table2[[#This Row],[Growth Percentage]])^(Table2[[#Headers],[2030]]-YEAR(TODAY()))</f>
        <v>234778711.21681923</v>
      </c>
      <c r="G83" s="5">
        <f ca="1">SUMIF('Database '!$A$11:$A$22,A83,'Database '!$G$11:$G$22)*(1+Table2[[#This Row],[Growth Percentage]])^(Table2[[#Headers],[2031]]-YEAR(TODAY()))</f>
        <v>251213221.00199661</v>
      </c>
      <c r="H83" s="5">
        <f ca="1">SUMIF('Database '!$A$11:$A$22,A83,'Database '!$G$11:$G$22)*(1+Table2[[#This Row],[Growth Percentage]])^(Table2[[#Headers],[2032]]-YEAR(TODAY()))</f>
        <v>268798146.47213638</v>
      </c>
      <c r="I83" s="5">
        <f ca="1">SUMIF('Database '!$A$11:$A$22,A83,'Database '!$G$11:$G$22)*(1+Table2[[#This Row],[Growth Percentage]])^(Table2[[#Headers],[2033]]-YEAR(TODAY()))</f>
        <v>287614016.72518593</v>
      </c>
      <c r="J83" s="5">
        <f ca="1">SUMIF('Database '!$A$11:$A$22,A83,'Database '!$G$11:$G$22)*(1+Table2[[#This Row],[Growth Percentage]])^(Table2[[#Headers],[2034]]-YEAR(TODAY()))</f>
        <v>307746997.89594895</v>
      </c>
      <c r="K83" s="5">
        <f ca="1">SUMIF('Database '!$A$11:$A$22,A83,'Database '!$G$11:$G$22)*(1+Table2[[#This Row],[Growth Percentage]])^(Table2[[#Headers],[2035]]-YEAR(TODAY()))</f>
        <v>329289287.74866539</v>
      </c>
      <c r="L83" s="5">
        <f ca="1">SUMIF('Database '!$A$11:$A$22,A83,'Database '!$G$11:$G$22)*(1+Table2[[#This Row],[Growth Percentage]])^(Table2[[#Headers],[2036]]-YEAR(TODAY()))</f>
        <v>352339537.89107198</v>
      </c>
    </row>
    <row r="84" spans="1:12">
      <c r="A84" t="str">
        <f>'Database '!$A$21</f>
        <v>UNTR</v>
      </c>
      <c r="B84" s="11">
        <f>'Database '!D28</f>
        <v>0.08</v>
      </c>
      <c r="C84" s="5">
        <f ca="1">SUMIF('Database '!$A$11:$A$22,A84,'Database '!$G$11:$G$22)*(1+Table2[[#This Row],[Growth Percentage]])^(Table2[[#Headers],[2027]]-YEAR(TODAY()))</f>
        <v>193440479.05224001</v>
      </c>
      <c r="D84" s="5">
        <f ca="1">SUMIF('Database '!$A$11:$A$22,A84,'Database '!$G$11:$G$22)*(1+Table2[[#This Row],[Growth Percentage]])^(Table2[[#Headers],[2028]]-YEAR(TODAY()))</f>
        <v>208915717.37641922</v>
      </c>
      <c r="E84" s="5">
        <f ca="1">SUMIF('Database '!$A$11:$A$22,A84,'Database '!$G$11:$G$22)*(1+Table2[[#This Row],[Growth Percentage]])^(Table2[[#Headers],[2029]]-YEAR(TODAY()))</f>
        <v>225628974.76653278</v>
      </c>
      <c r="F84" s="5">
        <f ca="1">SUMIF('Database '!$A$11:$A$22,A84,'Database '!$G$11:$G$22)*(1+Table2[[#This Row],[Growth Percentage]])^(Table2[[#Headers],[2030]]-YEAR(TODAY()))</f>
        <v>243679292.74785542</v>
      </c>
      <c r="G84" s="5">
        <f ca="1">SUMIF('Database '!$A$11:$A$22,A84,'Database '!$G$11:$G$22)*(1+Table2[[#This Row],[Growth Percentage]])^(Table2[[#Headers],[2031]]-YEAR(TODAY()))</f>
        <v>263173636.16768384</v>
      </c>
      <c r="H84" s="5">
        <f ca="1">SUMIF('Database '!$A$11:$A$22,A84,'Database '!$G$11:$G$22)*(1+Table2[[#This Row],[Growth Percentage]])^(Table2[[#Headers],[2032]]-YEAR(TODAY()))</f>
        <v>284227527.06109858</v>
      </c>
      <c r="I84" s="5">
        <f ca="1">SUMIF('Database '!$A$11:$A$22,A84,'Database '!$G$11:$G$22)*(1+Table2[[#This Row],[Growth Percentage]])^(Table2[[#Headers],[2033]]-YEAR(TODAY()))</f>
        <v>306965729.22598648</v>
      </c>
      <c r="J84" s="5">
        <f ca="1">SUMIF('Database '!$A$11:$A$22,A84,'Database '!$G$11:$G$22)*(1+Table2[[#This Row],[Growth Percentage]])^(Table2[[#Headers],[2034]]-YEAR(TODAY()))</f>
        <v>331522987.5640654</v>
      </c>
      <c r="K84" s="5">
        <f ca="1">SUMIF('Database '!$A$11:$A$22,A84,'Database '!$G$11:$G$22)*(1+Table2[[#This Row],[Growth Percentage]])^(Table2[[#Headers],[2035]]-YEAR(TODAY()))</f>
        <v>358044826.56919068</v>
      </c>
      <c r="L84" s="5">
        <f ca="1">SUMIF('Database '!$A$11:$A$22,A84,'Database '!$G$11:$G$22)*(1+Table2[[#This Row],[Growth Percentage]])^(Table2[[#Headers],[2036]]-YEAR(TODAY()))</f>
        <v>386688412.69472593</v>
      </c>
    </row>
    <row r="85" spans="1:12">
      <c r="A85" t="str">
        <f>'Database '!$A$21</f>
        <v>UNTR</v>
      </c>
      <c r="B85" s="10">
        <f>'Database '!E28</f>
        <v>0.09</v>
      </c>
      <c r="C85" s="5">
        <f ca="1">SUMIF('Database '!$A$11:$A$22,A85,'Database '!$G$11:$G$22)*(1+Table2[[#This Row],[Growth Percentage]])^(Table2[[#Headers],[2027]]-YEAR(TODAY()))</f>
        <v>195231594.59902</v>
      </c>
      <c r="D85" s="5">
        <f ca="1">SUMIF('Database '!$A$11:$A$22,A85,'Database '!$G$11:$G$22)*(1+Table2[[#This Row],[Growth Percentage]])^(Table2[[#Headers],[2028]]-YEAR(TODAY()))</f>
        <v>212802438.11293182</v>
      </c>
      <c r="E85" s="5">
        <f ca="1">SUMIF('Database '!$A$11:$A$22,A85,'Database '!$G$11:$G$22)*(1+Table2[[#This Row],[Growth Percentage]])^(Table2[[#Headers],[2029]]-YEAR(TODAY()))</f>
        <v>231954657.54309571</v>
      </c>
      <c r="F85" s="5">
        <f ca="1">SUMIF('Database '!$A$11:$A$22,A85,'Database '!$G$11:$G$22)*(1+Table2[[#This Row],[Growth Percentage]])^(Table2[[#Headers],[2030]]-YEAR(TODAY()))</f>
        <v>252830576.72197431</v>
      </c>
      <c r="G85" s="5">
        <f ca="1">SUMIF('Database '!$A$11:$A$22,A85,'Database '!$G$11:$G$22)*(1+Table2[[#This Row],[Growth Percentage]])^(Table2[[#Headers],[2031]]-YEAR(TODAY()))</f>
        <v>275585328.62695205</v>
      </c>
      <c r="H85" s="5">
        <f ca="1">SUMIF('Database '!$A$11:$A$22,A85,'Database '!$G$11:$G$22)*(1+Table2[[#This Row],[Growth Percentage]])^(Table2[[#Headers],[2032]]-YEAR(TODAY()))</f>
        <v>300388008.20337772</v>
      </c>
      <c r="I85" s="5">
        <f ca="1">SUMIF('Database '!$A$11:$A$22,A85,'Database '!$G$11:$G$22)*(1+Table2[[#This Row],[Growth Percentage]])^(Table2[[#Headers],[2033]]-YEAR(TODAY()))</f>
        <v>327422928.94168174</v>
      </c>
      <c r="J85" s="5">
        <f ca="1">SUMIF('Database '!$A$11:$A$22,A85,'Database '!$G$11:$G$22)*(1+Table2[[#This Row],[Growth Percentage]])^(Table2[[#Headers],[2034]]-YEAR(TODAY()))</f>
        <v>356890992.54643309</v>
      </c>
      <c r="K85" s="5">
        <f ca="1">SUMIF('Database '!$A$11:$A$22,A85,'Database '!$G$11:$G$22)*(1+Table2[[#This Row],[Growth Percentage]])^(Table2[[#Headers],[2035]]-YEAR(TODAY()))</f>
        <v>389011181.87561214</v>
      </c>
      <c r="L85" s="5">
        <f ca="1">SUMIF('Database '!$A$11:$A$22,A85,'Database '!$G$11:$G$22)*(1+Table2[[#This Row],[Growth Percentage]])^(Table2[[#Headers],[2036]]-YEAR(TODAY()))</f>
        <v>424022188.24441725</v>
      </c>
    </row>
    <row r="86" spans="1:12">
      <c r="A86" t="str">
        <f>'Database '!$A$21</f>
        <v>UNTR</v>
      </c>
      <c r="B86" s="11">
        <f>'Database '!F28</f>
        <v>9.5000000000000001E-2</v>
      </c>
      <c r="C86" s="5">
        <f ca="1">SUMIF('Database '!$A$11:$A$22,A86,'Database '!$G$11:$G$22)*(1+Table2[[#This Row],[Growth Percentage]])^(Table2[[#Headers],[2027]]-YEAR(TODAY()))</f>
        <v>196127152.37241</v>
      </c>
      <c r="D86" s="5">
        <f ca="1">SUMIF('Database '!$A$11:$A$22,A86,'Database '!$G$11:$G$22)*(1+Table2[[#This Row],[Growth Percentage]])^(Table2[[#Headers],[2028]]-YEAR(TODAY()))</f>
        <v>214759231.84778896</v>
      </c>
      <c r="E86" s="5">
        <f ca="1">SUMIF('Database '!$A$11:$A$22,A86,'Database '!$G$11:$G$22)*(1+Table2[[#This Row],[Growth Percentage]])^(Table2[[#Headers],[2029]]-YEAR(TODAY()))</f>
        <v>235161358.87332889</v>
      </c>
      <c r="F86" s="5">
        <f ca="1">SUMIF('Database '!$A$11:$A$22,A86,'Database '!$G$11:$G$22)*(1+Table2[[#This Row],[Growth Percentage]])^(Table2[[#Headers],[2030]]-YEAR(TODAY()))</f>
        <v>257501687.96629515</v>
      </c>
      <c r="G86" s="5">
        <f ca="1">SUMIF('Database '!$A$11:$A$22,A86,'Database '!$G$11:$G$22)*(1+Table2[[#This Row],[Growth Percentage]])^(Table2[[#Headers],[2031]]-YEAR(TODAY()))</f>
        <v>281964348.32309318</v>
      </c>
      <c r="H86" s="5">
        <f ca="1">SUMIF('Database '!$A$11:$A$22,A86,'Database '!$G$11:$G$22)*(1+Table2[[#This Row],[Growth Percentage]])^(Table2[[#Headers],[2032]]-YEAR(TODAY()))</f>
        <v>308750961.41378707</v>
      </c>
      <c r="I86" s="5">
        <f ca="1">SUMIF('Database '!$A$11:$A$22,A86,'Database '!$G$11:$G$22)*(1+Table2[[#This Row],[Growth Percentage]])^(Table2[[#Headers],[2033]]-YEAR(TODAY()))</f>
        <v>338082302.74809682</v>
      </c>
      <c r="J86" s="5">
        <f ca="1">SUMIF('Database '!$A$11:$A$22,A86,'Database '!$G$11:$G$22)*(1+Table2[[#This Row],[Growth Percentage]])^(Table2[[#Headers],[2034]]-YEAR(TODAY()))</f>
        <v>370200121.509166</v>
      </c>
      <c r="K86" s="5">
        <f ca="1">SUMIF('Database '!$A$11:$A$22,A86,'Database '!$G$11:$G$22)*(1+Table2[[#This Row],[Growth Percentage]])^(Table2[[#Headers],[2035]]-YEAR(TODAY()))</f>
        <v>405369133.05253679</v>
      </c>
      <c r="L86" s="5">
        <f ca="1">SUMIF('Database '!$A$11:$A$22,A86,'Database '!$G$11:$G$22)*(1+Table2[[#This Row],[Growth Percentage]])^(Table2[[#Headers],[2036]]-YEAR(TODAY()))</f>
        <v>443879200.69252783</v>
      </c>
    </row>
    <row r="87" spans="1:12">
      <c r="A87" t="str">
        <f>'Database '!$A$21</f>
        <v>UNTR</v>
      </c>
      <c r="B87" s="10">
        <f>'Database '!G28</f>
        <v>0.1</v>
      </c>
      <c r="C87" s="5">
        <f ca="1">SUMIF('Database '!$A$11:$A$22,A87,'Database '!$G$11:$G$22)*(1+Table2[[#This Row],[Growth Percentage]])^(Table2[[#Headers],[2027]]-YEAR(TODAY()))</f>
        <v>197022710.14580002</v>
      </c>
      <c r="D87" s="5">
        <f ca="1">SUMIF('Database '!$A$11:$A$22,A87,'Database '!$G$11:$G$22)*(1+Table2[[#This Row],[Growth Percentage]])^(Table2[[#Headers],[2028]]-YEAR(TODAY()))</f>
        <v>216724981.16038004</v>
      </c>
      <c r="E87" s="5">
        <f ca="1">SUMIF('Database '!$A$11:$A$22,A87,'Database '!$G$11:$G$22)*(1+Table2[[#This Row],[Growth Percentage]])^(Table2[[#Headers],[2029]]-YEAR(TODAY()))</f>
        <v>238397479.27641809</v>
      </c>
      <c r="F87" s="5">
        <f ca="1">SUMIF('Database '!$A$11:$A$22,A87,'Database '!$G$11:$G$22)*(1+Table2[[#This Row],[Growth Percentage]])^(Table2[[#Headers],[2030]]-YEAR(TODAY()))</f>
        <v>262237227.20405987</v>
      </c>
      <c r="G87" s="5">
        <f ca="1">SUMIF('Database '!$A$11:$A$22,A87,'Database '!$G$11:$G$22)*(1+Table2[[#This Row],[Growth Percentage]])^(Table2[[#Headers],[2031]]-YEAR(TODAY()))</f>
        <v>288460949.92446589</v>
      </c>
      <c r="H87" s="5">
        <f ca="1">SUMIF('Database '!$A$11:$A$22,A87,'Database '!$G$11:$G$22)*(1+Table2[[#This Row],[Growth Percentage]])^(Table2[[#Headers],[2032]]-YEAR(TODAY()))</f>
        <v>317307044.9169125</v>
      </c>
      <c r="I87" s="5">
        <f ca="1">SUMIF('Database '!$A$11:$A$22,A87,'Database '!$G$11:$G$22)*(1+Table2[[#This Row],[Growth Percentage]])^(Table2[[#Headers],[2033]]-YEAR(TODAY()))</f>
        <v>349037749.40860379</v>
      </c>
      <c r="J87" s="5">
        <f ca="1">SUMIF('Database '!$A$11:$A$22,A87,'Database '!$G$11:$G$22)*(1+Table2[[#This Row],[Growth Percentage]])^(Table2[[#Headers],[2034]]-YEAR(TODAY()))</f>
        <v>383941524.34946418</v>
      </c>
      <c r="K87" s="5">
        <f ca="1">SUMIF('Database '!$A$11:$A$22,A87,'Database '!$G$11:$G$22)*(1+Table2[[#This Row],[Growth Percentage]])^(Table2[[#Headers],[2035]]-YEAR(TODAY()))</f>
        <v>422335676.7844106</v>
      </c>
      <c r="L87" s="5">
        <f ca="1">SUMIF('Database '!$A$11:$A$22,A87,'Database '!$G$11:$G$22)*(1+Table2[[#This Row],[Growth Percentage]])^(Table2[[#Headers],[2036]]-YEAR(TODAY()))</f>
        <v>464569244.4628517</v>
      </c>
    </row>
    <row r="88" spans="1:12">
      <c r="A88" t="str">
        <f>'Database '!$A$21</f>
        <v>UNTR</v>
      </c>
      <c r="B88" s="10">
        <f>'Database '!H28</f>
        <v>0.11</v>
      </c>
      <c r="C88" s="5">
        <f ca="1">SUMIF('Database '!$A$11:$A$22,A88,'Database '!$G$11:$G$22)*(1+Table2[[#This Row],[Growth Percentage]])^(Table2[[#Headers],[2027]]-YEAR(TODAY()))</f>
        <v>198813825.69258001</v>
      </c>
      <c r="D88" s="5">
        <f ca="1">SUMIF('Database '!$A$11:$A$22,A88,'Database '!$G$11:$G$22)*(1+Table2[[#This Row],[Growth Percentage]])^(Table2[[#Headers],[2028]]-YEAR(TODAY()))</f>
        <v>220683346.51876384</v>
      </c>
      <c r="E88" s="5">
        <f ca="1">SUMIF('Database '!$A$11:$A$22,A88,'Database '!$G$11:$G$22)*(1+Table2[[#This Row],[Growth Percentage]])^(Table2[[#Headers],[2029]]-YEAR(TODAY()))</f>
        <v>244958514.63582787</v>
      </c>
      <c r="F88" s="5">
        <f ca="1">SUMIF('Database '!$A$11:$A$22,A88,'Database '!$G$11:$G$22)*(1+Table2[[#This Row],[Growth Percentage]])^(Table2[[#Headers],[2030]]-YEAR(TODAY()))</f>
        <v>271903951.24576896</v>
      </c>
      <c r="G88" s="5">
        <f ca="1">SUMIF('Database '!$A$11:$A$22,A88,'Database '!$G$11:$G$22)*(1+Table2[[#This Row],[Growth Percentage]])^(Table2[[#Headers],[2031]]-YEAR(TODAY()))</f>
        <v>301813385.88280356</v>
      </c>
      <c r="H88" s="5">
        <f ca="1">SUMIF('Database '!$A$11:$A$22,A88,'Database '!$G$11:$G$22)*(1+Table2[[#This Row],[Growth Percentage]])^(Table2[[#Headers],[2032]]-YEAR(TODAY()))</f>
        <v>335012858.32991195</v>
      </c>
      <c r="I88" s="5">
        <f ca="1">SUMIF('Database '!$A$11:$A$22,A88,'Database '!$G$11:$G$22)*(1+Table2[[#This Row],[Growth Percentage]])^(Table2[[#Headers],[2033]]-YEAR(TODAY()))</f>
        <v>371864272.74620229</v>
      </c>
      <c r="J88" s="5">
        <f ca="1">SUMIF('Database '!$A$11:$A$22,A88,'Database '!$G$11:$G$22)*(1+Table2[[#This Row],[Growth Percentage]])^(Table2[[#Headers],[2034]]-YEAR(TODAY()))</f>
        <v>412769342.74828464</v>
      </c>
      <c r="K88" s="5">
        <f ca="1">SUMIF('Database '!$A$11:$A$22,A88,'Database '!$G$11:$G$22)*(1+Table2[[#This Row],[Growth Percentage]])^(Table2[[#Headers],[2035]]-YEAR(TODAY()))</f>
        <v>458173970.45059597</v>
      </c>
      <c r="L88" s="5">
        <f ca="1">SUMIF('Database '!$A$11:$A$22,A88,'Database '!$G$11:$G$22)*(1+Table2[[#This Row],[Growth Percentage]])^(Table2[[#Headers],[2036]]-YEAR(TODAY()))</f>
        <v>508573107.20016164</v>
      </c>
    </row>
    <row r="89" spans="1:12">
      <c r="A89" t="str">
        <f>'Database '!$A$21</f>
        <v>UNTR</v>
      </c>
      <c r="B89" s="10">
        <f>'Database '!I28</f>
        <v>0.12</v>
      </c>
      <c r="C89" s="5">
        <f ca="1">SUMIF('Database '!$A$11:$A$22,A89,'Database '!$G$11:$G$22)*(1+Table2[[#This Row],[Growth Percentage]])^(Table2[[#Headers],[2027]]-YEAR(TODAY()))</f>
        <v>200604941.23936003</v>
      </c>
      <c r="D89" s="5">
        <f ca="1">SUMIF('Database '!$A$11:$A$22,A89,'Database '!$G$11:$G$22)*(1+Table2[[#This Row],[Growth Percentage]])^(Table2[[#Headers],[2028]]-YEAR(TODAY()))</f>
        <v>224677534.18808323</v>
      </c>
      <c r="E89" s="5">
        <f ca="1">SUMIF('Database '!$A$11:$A$22,A89,'Database '!$G$11:$G$22)*(1+Table2[[#This Row],[Growth Percentage]])^(Table2[[#Headers],[2029]]-YEAR(TODAY()))</f>
        <v>251638838.29065326</v>
      </c>
      <c r="F89" s="5">
        <f ca="1">SUMIF('Database '!$A$11:$A$22,A89,'Database '!$G$11:$G$22)*(1+Table2[[#This Row],[Growth Percentage]])^(Table2[[#Headers],[2030]]-YEAR(TODAY()))</f>
        <v>281835498.88553166</v>
      </c>
      <c r="G89" s="5">
        <f ca="1">SUMIF('Database '!$A$11:$A$22,A89,'Database '!$G$11:$G$22)*(1+Table2[[#This Row],[Growth Percentage]])^(Table2[[#Headers],[2031]]-YEAR(TODAY()))</f>
        <v>315655758.75179547</v>
      </c>
      <c r="H89" s="5">
        <f ca="1">SUMIF('Database '!$A$11:$A$22,A89,'Database '!$G$11:$G$22)*(1+Table2[[#This Row],[Growth Percentage]])^(Table2[[#Headers],[2032]]-YEAR(TODAY()))</f>
        <v>353534449.80201095</v>
      </c>
      <c r="I89" s="5">
        <f ca="1">SUMIF('Database '!$A$11:$A$22,A89,'Database '!$G$11:$G$22)*(1+Table2[[#This Row],[Growth Percentage]])^(Table2[[#Headers],[2033]]-YEAR(TODAY()))</f>
        <v>395958583.7782523</v>
      </c>
      <c r="J89" s="5">
        <f ca="1">SUMIF('Database '!$A$11:$A$22,A89,'Database '!$G$11:$G$22)*(1+Table2[[#This Row],[Growth Percentage]])^(Table2[[#Headers],[2034]]-YEAR(TODAY()))</f>
        <v>443473613.83164257</v>
      </c>
      <c r="K89" s="5">
        <f ca="1">SUMIF('Database '!$A$11:$A$22,A89,'Database '!$G$11:$G$22)*(1+Table2[[#This Row],[Growth Percentage]])^(Table2[[#Headers],[2035]]-YEAR(TODAY()))</f>
        <v>496690447.4914397</v>
      </c>
      <c r="L89" s="5">
        <f ca="1">SUMIF('Database '!$A$11:$A$22,A89,'Database '!$G$11:$G$22)*(1+Table2[[#This Row],[Growth Percentage]])^(Table2[[#Headers],[2036]]-YEAR(TODAY()))</f>
        <v>556293301.19041252</v>
      </c>
    </row>
    <row r="90" spans="1:12">
      <c r="A90" t="str">
        <f>'Database '!$A$22</f>
        <v>UNVR</v>
      </c>
      <c r="B90" s="11">
        <f>'Database '!B28</f>
        <v>0.06</v>
      </c>
      <c r="C90" s="5">
        <f ca="1">SUMIF('Database '!$A$11:$A$22,A90,'Database '!$G$11:$G$22)*(1+Table2[[#This Row],[Growth Percentage]])^(Table2[[#Headers],[2027]]-YEAR(TODAY()))</f>
        <v>9376299.4199299999</v>
      </c>
      <c r="D90" s="5">
        <f ca="1">SUMIF('Database '!$A$11:$A$22,A90,'Database '!$G$11:$G$22)*(1+Table2[[#This Row],[Growth Percentage]])^(Table2[[#Headers],[2028]]-YEAR(TODAY()))</f>
        <v>9938877.385125801</v>
      </c>
      <c r="E90" s="5">
        <f ca="1">SUMIF('Database '!$A$11:$A$22,A90,'Database '!$G$11:$G$22)*(1+Table2[[#This Row],[Growth Percentage]])^(Table2[[#Headers],[2029]]-YEAR(TODAY()))</f>
        <v>10535210.028233349</v>
      </c>
      <c r="F90" s="5">
        <f ca="1">SUMIF('Database '!$A$11:$A$22,A90,'Database '!$G$11:$G$22)*(1+Table2[[#This Row],[Growth Percentage]])^(Table2[[#Headers],[2030]]-YEAR(TODAY()))</f>
        <v>11167322.62992735</v>
      </c>
      <c r="G90" s="5">
        <f ca="1">SUMIF('Database '!$A$11:$A$22,A90,'Database '!$G$11:$G$22)*(1+Table2[[#This Row],[Growth Percentage]])^(Table2[[#Headers],[2031]]-YEAR(TODAY()))</f>
        <v>11837361.987722993</v>
      </c>
      <c r="H90" s="5">
        <f ca="1">SUMIF('Database '!$A$11:$A$22,A90,'Database '!$G$11:$G$22)*(1+Table2[[#This Row],[Growth Percentage]])^(Table2[[#Headers],[2032]]-YEAR(TODAY()))</f>
        <v>12547603.706986373</v>
      </c>
      <c r="I90" s="5">
        <f ca="1">SUMIF('Database '!$A$11:$A$22,A90,'Database '!$G$11:$G$22)*(1+Table2[[#This Row],[Growth Percentage]])^(Table2[[#Headers],[2033]]-YEAR(TODAY()))</f>
        <v>13300459.929405557</v>
      </c>
      <c r="J90" s="5">
        <f ca="1">SUMIF('Database '!$A$11:$A$22,A90,'Database '!$G$11:$G$22)*(1+Table2[[#This Row],[Growth Percentage]])^(Table2[[#Headers],[2034]]-YEAR(TODAY()))</f>
        <v>14098487.52516989</v>
      </c>
      <c r="K90" s="5">
        <f ca="1">SUMIF('Database '!$A$11:$A$22,A90,'Database '!$G$11:$G$22)*(1+Table2[[#This Row],[Growth Percentage]])^(Table2[[#Headers],[2035]]-YEAR(TODAY()))</f>
        <v>14944396.776680084</v>
      </c>
      <c r="L90" s="5">
        <f ca="1">SUMIF('Database '!$A$11:$A$22,A90,'Database '!$G$11:$G$22)*(1+Table2[[#This Row],[Growth Percentage]])^(Table2[[#Headers],[2036]]-YEAR(TODAY()))</f>
        <v>15841060.583280889</v>
      </c>
    </row>
    <row r="91" spans="1:12">
      <c r="A91" t="str">
        <f>'Database '!$A$22</f>
        <v>UNVR</v>
      </c>
      <c r="B91" s="10">
        <f>'Database '!C28</f>
        <v>7.0000000000000007E-2</v>
      </c>
      <c r="C91" s="5">
        <f ca="1">SUMIF('Database '!$A$11:$A$22,A91,'Database '!$G$11:$G$22)*(1+Table2[[#This Row],[Growth Percentage]])^(Table2[[#Headers],[2027]]-YEAR(TODAY()))</f>
        <v>9464755.0748350006</v>
      </c>
      <c r="D91" s="5">
        <f ca="1">SUMIF('Database '!$A$11:$A$22,A91,'Database '!$G$11:$G$22)*(1+Table2[[#This Row],[Growth Percentage]])^(Table2[[#Headers],[2028]]-YEAR(TODAY()))</f>
        <v>10127287.930073449</v>
      </c>
      <c r="E91" s="5">
        <f ca="1">SUMIF('Database '!$A$11:$A$22,A91,'Database '!$G$11:$G$22)*(1+Table2[[#This Row],[Growth Percentage]])^(Table2[[#Headers],[2029]]-YEAR(TODAY()))</f>
        <v>10836198.085178591</v>
      </c>
      <c r="F91" s="5">
        <f ca="1">SUMIF('Database '!$A$11:$A$22,A91,'Database '!$G$11:$G$22)*(1+Table2[[#This Row],[Growth Percentage]])^(Table2[[#Headers],[2030]]-YEAR(TODAY()))</f>
        <v>11594731.951141093</v>
      </c>
      <c r="G91" s="5">
        <f ca="1">SUMIF('Database '!$A$11:$A$22,A91,'Database '!$G$11:$G$22)*(1+Table2[[#This Row],[Growth Percentage]])^(Table2[[#Headers],[2031]]-YEAR(TODAY()))</f>
        <v>12406363.187720969</v>
      </c>
      <c r="H91" s="5">
        <f ca="1">SUMIF('Database '!$A$11:$A$22,A91,'Database '!$G$11:$G$22)*(1+Table2[[#This Row],[Growth Percentage]])^(Table2[[#Headers],[2032]]-YEAR(TODAY()))</f>
        <v>13274808.610861437</v>
      </c>
      <c r="I91" s="5">
        <f ca="1">SUMIF('Database '!$A$11:$A$22,A91,'Database '!$G$11:$G$22)*(1+Table2[[#This Row],[Growth Percentage]])^(Table2[[#Headers],[2033]]-YEAR(TODAY()))</f>
        <v>14204045.213621739</v>
      </c>
      <c r="J91" s="5">
        <f ca="1">SUMIF('Database '!$A$11:$A$22,A91,'Database '!$G$11:$G$22)*(1+Table2[[#This Row],[Growth Percentage]])^(Table2[[#Headers],[2034]]-YEAR(TODAY()))</f>
        <v>15198328.37857526</v>
      </c>
      <c r="K91" s="5">
        <f ca="1">SUMIF('Database '!$A$11:$A$22,A91,'Database '!$G$11:$G$22)*(1+Table2[[#This Row],[Growth Percentage]])^(Table2[[#Headers],[2035]]-YEAR(TODAY()))</f>
        <v>16262211.36507553</v>
      </c>
      <c r="L91" s="5">
        <f ca="1">SUMIF('Database '!$A$11:$A$22,A91,'Database '!$G$11:$G$22)*(1+Table2[[#This Row],[Growth Percentage]])^(Table2[[#Headers],[2036]]-YEAR(TODAY()))</f>
        <v>17400566.160630815</v>
      </c>
    </row>
    <row r="92" spans="1:12">
      <c r="A92" t="str">
        <f>'Database '!$A$22</f>
        <v>UNVR</v>
      </c>
      <c r="B92" s="11">
        <f>'Database '!D28</f>
        <v>0.08</v>
      </c>
      <c r="C92" s="5">
        <f ca="1">SUMIF('Database '!$A$11:$A$22,A92,'Database '!$G$11:$G$22)*(1+Table2[[#This Row],[Growth Percentage]])^(Table2[[#Headers],[2027]]-YEAR(TODAY()))</f>
        <v>9553210.7297399994</v>
      </c>
      <c r="D92" s="5">
        <f ca="1">SUMIF('Database '!$A$11:$A$22,A92,'Database '!$G$11:$G$22)*(1+Table2[[#This Row],[Growth Percentage]])^(Table2[[#Headers],[2028]]-YEAR(TODAY()))</f>
        <v>10317467.588119199</v>
      </c>
      <c r="E92" s="5">
        <f ca="1">SUMIF('Database '!$A$11:$A$22,A92,'Database '!$G$11:$G$22)*(1+Table2[[#This Row],[Growth Percentage]])^(Table2[[#Headers],[2029]]-YEAR(TODAY()))</f>
        <v>11142864.995168736</v>
      </c>
      <c r="F92" s="5">
        <f ca="1">SUMIF('Database '!$A$11:$A$22,A92,'Database '!$G$11:$G$22)*(1+Table2[[#This Row],[Growth Percentage]])^(Table2[[#Headers],[2030]]-YEAR(TODAY()))</f>
        <v>12034294.194782237</v>
      </c>
      <c r="G92" s="5">
        <f ca="1">SUMIF('Database '!$A$11:$A$22,A92,'Database '!$G$11:$G$22)*(1+Table2[[#This Row],[Growth Percentage]])^(Table2[[#Headers],[2031]]-YEAR(TODAY()))</f>
        <v>12997037.730364816</v>
      </c>
      <c r="H92" s="5">
        <f ca="1">SUMIF('Database '!$A$11:$A$22,A92,'Database '!$G$11:$G$22)*(1+Table2[[#This Row],[Growth Percentage]])^(Table2[[#Headers],[2032]]-YEAR(TODAY()))</f>
        <v>14036800.748794002</v>
      </c>
      <c r="I92" s="5">
        <f ca="1">SUMIF('Database '!$A$11:$A$22,A92,'Database '!$G$11:$G$22)*(1+Table2[[#This Row],[Growth Percentage]])^(Table2[[#Headers],[2033]]-YEAR(TODAY()))</f>
        <v>15159744.808697524</v>
      </c>
      <c r="J92" s="5">
        <f ca="1">SUMIF('Database '!$A$11:$A$22,A92,'Database '!$G$11:$G$22)*(1+Table2[[#This Row],[Growth Percentage]])^(Table2[[#Headers],[2034]]-YEAR(TODAY()))</f>
        <v>16372524.393393325</v>
      </c>
      <c r="K92" s="5">
        <f ca="1">SUMIF('Database '!$A$11:$A$22,A92,'Database '!$G$11:$G$22)*(1+Table2[[#This Row],[Growth Percentage]])^(Table2[[#Headers],[2035]]-YEAR(TODAY()))</f>
        <v>17682326.344864793</v>
      </c>
      <c r="L92" s="5">
        <f ca="1">SUMIF('Database '!$A$11:$A$22,A92,'Database '!$G$11:$G$22)*(1+Table2[[#This Row],[Growth Percentage]])^(Table2[[#Headers],[2036]]-YEAR(TODAY()))</f>
        <v>19096912.452453978</v>
      </c>
    </row>
    <row r="93" spans="1:12">
      <c r="A93" t="str">
        <f>'Database '!$A$22</f>
        <v>UNVR</v>
      </c>
      <c r="B93" s="10">
        <f>'Database '!E28</f>
        <v>0.09</v>
      </c>
      <c r="C93" s="5">
        <f ca="1">SUMIF('Database '!$A$11:$A$22,A93,'Database '!$G$11:$G$22)*(1+Table2[[#This Row],[Growth Percentage]])^(Table2[[#Headers],[2027]]-YEAR(TODAY()))</f>
        <v>9641666.3846450001</v>
      </c>
      <c r="D93" s="5">
        <f ca="1">SUMIF('Database '!$A$11:$A$22,A93,'Database '!$G$11:$G$22)*(1+Table2[[#This Row],[Growth Percentage]])^(Table2[[#Headers],[2028]]-YEAR(TODAY()))</f>
        <v>10509416.359263051</v>
      </c>
      <c r="E93" s="5">
        <f ca="1">SUMIF('Database '!$A$11:$A$22,A93,'Database '!$G$11:$G$22)*(1+Table2[[#This Row],[Growth Percentage]])^(Table2[[#Headers],[2029]]-YEAR(TODAY()))</f>
        <v>11455263.831596725</v>
      </c>
      <c r="F93" s="5">
        <f ca="1">SUMIF('Database '!$A$11:$A$22,A93,'Database '!$G$11:$G$22)*(1+Table2[[#This Row],[Growth Percentage]])^(Table2[[#Headers],[2030]]-YEAR(TODAY()))</f>
        <v>12486237.576440431</v>
      </c>
      <c r="G93" s="5">
        <f ca="1">SUMIF('Database '!$A$11:$A$22,A93,'Database '!$G$11:$G$22)*(1+Table2[[#This Row],[Growth Percentage]])^(Table2[[#Headers],[2031]]-YEAR(TODAY()))</f>
        <v>13609998.958320072</v>
      </c>
      <c r="H93" s="5">
        <f ca="1">SUMIF('Database '!$A$11:$A$22,A93,'Database '!$G$11:$G$22)*(1+Table2[[#This Row],[Growth Percentage]])^(Table2[[#Headers],[2032]]-YEAR(TODAY()))</f>
        <v>14834898.86456888</v>
      </c>
      <c r="I93" s="5">
        <f ca="1">SUMIF('Database '!$A$11:$A$22,A93,'Database '!$G$11:$G$22)*(1+Table2[[#This Row],[Growth Percentage]])^(Table2[[#Headers],[2033]]-YEAR(TODAY()))</f>
        <v>16170039.762380078</v>
      </c>
      <c r="J93" s="5">
        <f ca="1">SUMIF('Database '!$A$11:$A$22,A93,'Database '!$G$11:$G$22)*(1+Table2[[#This Row],[Growth Percentage]])^(Table2[[#Headers],[2034]]-YEAR(TODAY()))</f>
        <v>17625343.340994287</v>
      </c>
      <c r="K93" s="5">
        <f ca="1">SUMIF('Database '!$A$11:$A$22,A93,'Database '!$G$11:$G$22)*(1+Table2[[#This Row],[Growth Percentage]])^(Table2[[#Headers],[2035]]-YEAR(TODAY()))</f>
        <v>19211624.241683774</v>
      </c>
      <c r="L93" s="5">
        <f ca="1">SUMIF('Database '!$A$11:$A$22,A93,'Database '!$G$11:$G$22)*(1+Table2[[#This Row],[Growth Percentage]])^(Table2[[#Headers],[2036]]-YEAR(TODAY()))</f>
        <v>20940670.423435315</v>
      </c>
    </row>
    <row r="94" spans="1:12">
      <c r="A94" t="str">
        <f>'Database '!$A$22</f>
        <v>UNVR</v>
      </c>
      <c r="B94" s="11">
        <f>'Database '!F28</f>
        <v>9.5000000000000001E-2</v>
      </c>
      <c r="C94" s="5">
        <f ca="1">SUMIF('Database '!$A$11:$A$22,A94,'Database '!$G$11:$G$22)*(1+Table2[[#This Row],[Growth Percentage]])^(Table2[[#Headers],[2027]]-YEAR(TODAY()))</f>
        <v>9685894.2120974995</v>
      </c>
      <c r="D94" s="5">
        <f ca="1">SUMIF('Database '!$A$11:$A$22,A94,'Database '!$G$11:$G$22)*(1+Table2[[#This Row],[Growth Percentage]])^(Table2[[#Headers],[2028]]-YEAR(TODAY()))</f>
        <v>10606054.162246762</v>
      </c>
      <c r="E94" s="5">
        <f ca="1">SUMIF('Database '!$A$11:$A$22,A94,'Database '!$G$11:$G$22)*(1+Table2[[#This Row],[Growth Percentage]])^(Table2[[#Headers],[2029]]-YEAR(TODAY()))</f>
        <v>11613629.307660203</v>
      </c>
      <c r="F94" s="5">
        <f ca="1">SUMIF('Database '!$A$11:$A$22,A94,'Database '!$G$11:$G$22)*(1+Table2[[#This Row],[Growth Percentage]])^(Table2[[#Headers],[2030]]-YEAR(TODAY()))</f>
        <v>12716924.091887923</v>
      </c>
      <c r="G94" s="5">
        <f ca="1">SUMIF('Database '!$A$11:$A$22,A94,'Database '!$G$11:$G$22)*(1+Table2[[#This Row],[Growth Percentage]])^(Table2[[#Headers],[2031]]-YEAR(TODAY()))</f>
        <v>13925031.880617276</v>
      </c>
      <c r="H94" s="5">
        <f ca="1">SUMIF('Database '!$A$11:$A$22,A94,'Database '!$G$11:$G$22)*(1+Table2[[#This Row],[Growth Percentage]])^(Table2[[#Headers],[2032]]-YEAR(TODAY()))</f>
        <v>15247909.909275917</v>
      </c>
      <c r="I94" s="5">
        <f ca="1">SUMIF('Database '!$A$11:$A$22,A94,'Database '!$G$11:$G$22)*(1+Table2[[#This Row],[Growth Percentage]])^(Table2[[#Headers],[2033]]-YEAR(TODAY()))</f>
        <v>16696461.35065713</v>
      </c>
      <c r="J94" s="5">
        <f ca="1">SUMIF('Database '!$A$11:$A$22,A94,'Database '!$G$11:$G$22)*(1+Table2[[#This Row],[Growth Percentage]])^(Table2[[#Headers],[2034]]-YEAR(TODAY()))</f>
        <v>18282625.178969558</v>
      </c>
      <c r="K94" s="5">
        <f ca="1">SUMIF('Database '!$A$11:$A$22,A94,'Database '!$G$11:$G$22)*(1+Table2[[#This Row],[Growth Percentage]])^(Table2[[#Headers],[2035]]-YEAR(TODAY()))</f>
        <v>20019474.570971664</v>
      </c>
      <c r="L94" s="5">
        <f ca="1">SUMIF('Database '!$A$11:$A$22,A94,'Database '!$G$11:$G$22)*(1+Table2[[#This Row],[Growth Percentage]])^(Table2[[#Headers],[2036]]-YEAR(TODAY()))</f>
        <v>21921324.655213974</v>
      </c>
    </row>
    <row r="95" spans="1:12">
      <c r="A95" t="str">
        <f>'Database '!$A$22</f>
        <v>UNVR</v>
      </c>
      <c r="B95" s="10">
        <f>'Database '!G28</f>
        <v>0.1</v>
      </c>
      <c r="C95" s="5">
        <f ca="1">SUMIF('Database '!$A$11:$A$22,A95,'Database '!$G$11:$G$22)*(1+Table2[[#This Row],[Growth Percentage]])^(Table2[[#Headers],[2027]]-YEAR(TODAY()))</f>
        <v>9730122.0395500008</v>
      </c>
      <c r="D95" s="5">
        <f ca="1">SUMIF('Database '!$A$11:$A$22,A95,'Database '!$G$11:$G$22)*(1+Table2[[#This Row],[Growth Percentage]])^(Table2[[#Headers],[2028]]-YEAR(TODAY()))</f>
        <v>10703134.243505001</v>
      </c>
      <c r="E95" s="5">
        <f ca="1">SUMIF('Database '!$A$11:$A$22,A95,'Database '!$G$11:$G$22)*(1+Table2[[#This Row],[Growth Percentage]])^(Table2[[#Headers],[2029]]-YEAR(TODAY()))</f>
        <v>11773447.667855503</v>
      </c>
      <c r="F95" s="5">
        <f ca="1">SUMIF('Database '!$A$11:$A$22,A95,'Database '!$G$11:$G$22)*(1+Table2[[#This Row],[Growth Percentage]])^(Table2[[#Headers],[2030]]-YEAR(TODAY()))</f>
        <v>12950792.434641052</v>
      </c>
      <c r="G95" s="5">
        <f ca="1">SUMIF('Database '!$A$11:$A$22,A95,'Database '!$G$11:$G$22)*(1+Table2[[#This Row],[Growth Percentage]])^(Table2[[#Headers],[2031]]-YEAR(TODAY()))</f>
        <v>14245871.678105159</v>
      </c>
      <c r="H95" s="5">
        <f ca="1">SUMIF('Database '!$A$11:$A$22,A95,'Database '!$G$11:$G$22)*(1+Table2[[#This Row],[Growth Percentage]])^(Table2[[#Headers],[2032]]-YEAR(TODAY()))</f>
        <v>15670458.845915677</v>
      </c>
      <c r="I95" s="5">
        <f ca="1">SUMIF('Database '!$A$11:$A$22,A95,'Database '!$G$11:$G$22)*(1+Table2[[#This Row],[Growth Percentage]])^(Table2[[#Headers],[2033]]-YEAR(TODAY()))</f>
        <v>17237504.730507247</v>
      </c>
      <c r="J95" s="5">
        <f ca="1">SUMIF('Database '!$A$11:$A$22,A95,'Database '!$G$11:$G$22)*(1+Table2[[#This Row],[Growth Percentage]])^(Table2[[#Headers],[2034]]-YEAR(TODAY()))</f>
        <v>18961255.203557968</v>
      </c>
      <c r="K95" s="5">
        <f ca="1">SUMIF('Database '!$A$11:$A$22,A95,'Database '!$G$11:$G$22)*(1+Table2[[#This Row],[Growth Percentage]])^(Table2[[#Headers],[2035]]-YEAR(TODAY()))</f>
        <v>20857380.72391377</v>
      </c>
      <c r="L95" s="5">
        <f ca="1">SUMIF('Database '!$A$11:$A$22,A95,'Database '!$G$11:$G$22)*(1+Table2[[#This Row],[Growth Percentage]])^(Table2[[#Headers],[2036]]-YEAR(TODAY()))</f>
        <v>22943118.79630515</v>
      </c>
    </row>
    <row r="96" spans="1:12">
      <c r="A96" t="str">
        <f>'Database '!$A$22</f>
        <v>UNVR</v>
      </c>
      <c r="B96" s="10">
        <f>'Database '!H28</f>
        <v>0.11</v>
      </c>
      <c r="C96" s="5">
        <f ca="1">SUMIF('Database '!$A$11:$A$22,A96,'Database '!$G$11:$G$22)*(1+Table2[[#This Row],[Growth Percentage]])^(Table2[[#Headers],[2027]]-YEAR(TODAY()))</f>
        <v>9818577.6944549996</v>
      </c>
      <c r="D96" s="5">
        <f ca="1">SUMIF('Database '!$A$11:$A$22,A96,'Database '!$G$11:$G$22)*(1+Table2[[#This Row],[Growth Percentage]])^(Table2[[#Headers],[2028]]-YEAR(TODAY()))</f>
        <v>10898621.240845051</v>
      </c>
      <c r="E96" s="5">
        <f ca="1">SUMIF('Database '!$A$11:$A$22,A96,'Database '!$G$11:$G$22)*(1+Table2[[#This Row],[Growth Percentage]])^(Table2[[#Headers],[2029]]-YEAR(TODAY()))</f>
        <v>12097469.577338006</v>
      </c>
      <c r="F96" s="5">
        <f ca="1">SUMIF('Database '!$A$11:$A$22,A96,'Database '!$G$11:$G$22)*(1+Table2[[#This Row],[Growth Percentage]])^(Table2[[#Headers],[2030]]-YEAR(TODAY()))</f>
        <v>13428191.230845189</v>
      </c>
      <c r="G96" s="5">
        <f ca="1">SUMIF('Database '!$A$11:$A$22,A96,'Database '!$G$11:$G$22)*(1+Table2[[#This Row],[Growth Percentage]])^(Table2[[#Headers],[2031]]-YEAR(TODAY()))</f>
        <v>14905292.26623816</v>
      </c>
      <c r="H96" s="5">
        <f ca="1">SUMIF('Database '!$A$11:$A$22,A96,'Database '!$G$11:$G$22)*(1+Table2[[#This Row],[Growth Percentage]])^(Table2[[#Headers],[2032]]-YEAR(TODAY()))</f>
        <v>16544874.41552436</v>
      </c>
      <c r="I96" s="5">
        <f ca="1">SUMIF('Database '!$A$11:$A$22,A96,'Database '!$G$11:$G$22)*(1+Table2[[#This Row],[Growth Percentage]])^(Table2[[#Headers],[2033]]-YEAR(TODAY()))</f>
        <v>18364810.601232037</v>
      </c>
      <c r="J96" s="5">
        <f ca="1">SUMIF('Database '!$A$11:$A$22,A96,'Database '!$G$11:$G$22)*(1+Table2[[#This Row],[Growth Percentage]])^(Table2[[#Headers],[2034]]-YEAR(TODAY()))</f>
        <v>20384939.767367568</v>
      </c>
      <c r="K96" s="5">
        <f ca="1">SUMIF('Database '!$A$11:$A$22,A96,'Database '!$G$11:$G$22)*(1+Table2[[#This Row],[Growth Percentage]])^(Table2[[#Headers],[2035]]-YEAR(TODAY()))</f>
        <v>22627283.141778003</v>
      </c>
      <c r="L96" s="5">
        <f ca="1">SUMIF('Database '!$A$11:$A$22,A96,'Database '!$G$11:$G$22)*(1+Table2[[#This Row],[Growth Percentage]])^(Table2[[#Headers],[2036]]-YEAR(TODAY()))</f>
        <v>25116284.287373584</v>
      </c>
    </row>
    <row r="97" spans="1:12">
      <c r="A97" t="str">
        <f>'Database '!$A$22</f>
        <v>UNVR</v>
      </c>
      <c r="B97" s="10">
        <f>'Database '!I28</f>
        <v>0.12</v>
      </c>
      <c r="C97" s="5">
        <f ca="1">SUMIF('Database '!$A$11:$A$22,A97,'Database '!$G$11:$G$22)*(1+Table2[[#This Row],[Growth Percentage]])^(Table2[[#Headers],[2027]]-YEAR(TODAY()))</f>
        <v>9907033.3493600003</v>
      </c>
      <c r="D97" s="5">
        <f ca="1">SUMIF('Database '!$A$11:$A$22,A97,'Database '!$G$11:$G$22)*(1+Table2[[#This Row],[Growth Percentage]])^(Table2[[#Headers],[2028]]-YEAR(TODAY()))</f>
        <v>11095877.3512832</v>
      </c>
      <c r="E97" s="5">
        <f ca="1">SUMIF('Database '!$A$11:$A$22,A97,'Database '!$G$11:$G$22)*(1+Table2[[#This Row],[Growth Percentage]])^(Table2[[#Headers],[2029]]-YEAR(TODAY()))</f>
        <v>12427382.633437186</v>
      </c>
      <c r="F97" s="5">
        <f ca="1">SUMIF('Database '!$A$11:$A$22,A97,'Database '!$G$11:$G$22)*(1+Table2[[#This Row],[Growth Percentage]])^(Table2[[#Headers],[2030]]-YEAR(TODAY()))</f>
        <v>13918668.549449649</v>
      </c>
      <c r="G97" s="5">
        <f ca="1">SUMIF('Database '!$A$11:$A$22,A97,'Database '!$G$11:$G$22)*(1+Table2[[#This Row],[Growth Percentage]])^(Table2[[#Headers],[2031]]-YEAR(TODAY()))</f>
        <v>15588908.775383607</v>
      </c>
      <c r="H97" s="5">
        <f ca="1">SUMIF('Database '!$A$11:$A$22,A97,'Database '!$G$11:$G$22)*(1+Table2[[#This Row],[Growth Percentage]])^(Table2[[#Headers],[2032]]-YEAR(TODAY()))</f>
        <v>17459577.828429643</v>
      </c>
      <c r="I97" s="5">
        <f ca="1">SUMIF('Database '!$A$11:$A$22,A97,'Database '!$G$11:$G$22)*(1+Table2[[#This Row],[Growth Percentage]])^(Table2[[#Headers],[2033]]-YEAR(TODAY()))</f>
        <v>19554727.1678412</v>
      </c>
      <c r="J97" s="5">
        <f ca="1">SUMIF('Database '!$A$11:$A$22,A97,'Database '!$G$11:$G$22)*(1+Table2[[#This Row],[Growth Percentage]])^(Table2[[#Headers],[2034]]-YEAR(TODAY()))</f>
        <v>21901294.427982144</v>
      </c>
      <c r="K97" s="5">
        <f ca="1">SUMIF('Database '!$A$11:$A$22,A97,'Database '!$G$11:$G$22)*(1+Table2[[#This Row],[Growth Percentage]])^(Table2[[#Headers],[2035]]-YEAR(TODAY()))</f>
        <v>24529449.759340003</v>
      </c>
      <c r="L97" s="5">
        <f ca="1">SUMIF('Database '!$A$11:$A$22,A97,'Database '!$G$11:$G$22)*(1+Table2[[#This Row],[Growth Percentage]])^(Table2[[#Headers],[2036]]-YEAR(TODAY()))</f>
        <v>27472983.730460808</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581CD-D951-284F-B75D-C2311C60333C}">
  <dimension ref="A1:T46"/>
  <sheetViews>
    <sheetView tabSelected="1" topLeftCell="A6" workbookViewId="0">
      <selection activeCell="B24" sqref="B24"/>
    </sheetView>
  </sheetViews>
  <sheetFormatPr baseColWidth="10" defaultRowHeight="16"/>
  <cols>
    <col min="1" max="1" width="22" customWidth="1"/>
    <col min="2" max="2" width="45.5" customWidth="1"/>
    <col min="3" max="3" width="27.1640625" customWidth="1"/>
    <col min="4" max="4" width="15.6640625" customWidth="1"/>
    <col min="5" max="5" width="16.1640625" customWidth="1"/>
    <col min="6" max="6" width="20.1640625" customWidth="1"/>
    <col min="7" max="7" width="15.33203125" customWidth="1"/>
    <col min="8" max="8" width="14.1640625" customWidth="1"/>
    <col min="9" max="9" width="13.6640625" customWidth="1"/>
    <col min="10" max="10" width="15.33203125" customWidth="1"/>
    <col min="11" max="20" width="12.33203125" bestFit="1" customWidth="1"/>
    <col min="21" max="25" width="14.83203125" bestFit="1" customWidth="1"/>
    <col min="26" max="130" width="16.83203125" bestFit="1" customWidth="1"/>
    <col min="131" max="136" width="15.83203125" bestFit="1" customWidth="1"/>
    <col min="137" max="140" width="15.5" bestFit="1" customWidth="1"/>
  </cols>
  <sheetData>
    <row r="1" spans="1:20">
      <c r="E1" s="14"/>
    </row>
    <row r="2" spans="1:20">
      <c r="A2" s="18" t="s">
        <v>57</v>
      </c>
      <c r="B2" s="37">
        <f ca="1">TODAY()</f>
        <v>46160</v>
      </c>
      <c r="L2" s="15"/>
    </row>
    <row r="3" spans="1:20">
      <c r="A3" s="18" t="s">
        <v>43</v>
      </c>
      <c r="B3" s="19">
        <f>SUM(Cashflow)</f>
        <v>65645224.999400094</v>
      </c>
    </row>
    <row r="4" spans="1:20">
      <c r="A4" s="18" t="s">
        <v>42</v>
      </c>
      <c r="B4" s="19">
        <f>SUM(G11:G22)</f>
        <v>955961909.32079983</v>
      </c>
    </row>
    <row r="5" spans="1:20">
      <c r="A5" s="18" t="s">
        <v>41</v>
      </c>
      <c r="B5" s="19">
        <f>B4+B3</f>
        <v>1021607134.3202</v>
      </c>
    </row>
    <row r="6" spans="1:20">
      <c r="A6" s="18" t="s">
        <v>40</v>
      </c>
      <c r="B6" s="19">
        <f>SUMIF(Action,"Dividend",Amount)</f>
        <v>114580800</v>
      </c>
      <c r="K6" t="s">
        <v>62</v>
      </c>
      <c r="L6" t="s">
        <v>63</v>
      </c>
      <c r="M6" t="s">
        <v>64</v>
      </c>
      <c r="N6" t="s">
        <v>65</v>
      </c>
      <c r="O6" t="s">
        <v>66</v>
      </c>
      <c r="P6" t="s">
        <v>67</v>
      </c>
      <c r="Q6" t="s">
        <v>68</v>
      </c>
      <c r="R6" t="s">
        <v>69</v>
      </c>
      <c r="S6" t="s">
        <v>70</v>
      </c>
      <c r="T6" t="s">
        <v>71</v>
      </c>
    </row>
    <row r="7" spans="1:20">
      <c r="A7" s="18" t="s">
        <v>75</v>
      </c>
      <c r="B7" s="19">
        <f ca="1">(B6+H23)</f>
        <v>85845131.436785564</v>
      </c>
      <c r="D7" s="14"/>
      <c r="K7" s="5">
        <v>58545450.022500001</v>
      </c>
      <c r="L7" s="5">
        <v>62058177.023850009</v>
      </c>
      <c r="M7" s="5">
        <v>65781667.645281017</v>
      </c>
      <c r="N7" s="5">
        <v>69728567.70399788</v>
      </c>
      <c r="O7" s="5">
        <v>73912281.766237766</v>
      </c>
      <c r="P7" s="5">
        <v>78347018.672212034</v>
      </c>
      <c r="Q7" s="5">
        <v>83047839.792544767</v>
      </c>
      <c r="R7" s="5">
        <v>88030710.180097431</v>
      </c>
      <c r="S7" s="5">
        <v>93312552.790903285</v>
      </c>
      <c r="T7" s="5">
        <v>98911305.958357483</v>
      </c>
    </row>
    <row r="10" spans="1:20">
      <c r="A10" s="22" t="s">
        <v>2</v>
      </c>
      <c r="B10" s="22" t="s">
        <v>61</v>
      </c>
      <c r="C10" s="22" t="s">
        <v>31</v>
      </c>
      <c r="D10" s="22" t="s">
        <v>38</v>
      </c>
      <c r="E10" s="22" t="s">
        <v>58</v>
      </c>
      <c r="F10" s="22" t="s">
        <v>56</v>
      </c>
      <c r="G10" s="22" t="s">
        <v>39</v>
      </c>
      <c r="H10" s="27" t="s">
        <v>60</v>
      </c>
      <c r="I10" s="22" t="s">
        <v>59</v>
      </c>
      <c r="J10" s="32"/>
      <c r="K10" s="35" t="s">
        <v>72</v>
      </c>
      <c r="L10" t="s">
        <v>74</v>
      </c>
    </row>
    <row r="11" spans="1:20">
      <c r="A11" s="18" t="str" cm="1">
        <f t="array" ref="A11:A22">_xlfn._xlws.SORT(_xlfn.UNIQUE(_xlfn._xlws.FILTER('Transaction Log'!C2:C150, ('Transaction Log'!C2:C150&lt;&gt;"") * ('Transaction Log'!C2:C150&lt;&gt;0))))</f>
        <v>ADRO</v>
      </c>
      <c r="B11" s="18" t="e" vm="1">
        <v>#VALUE!</v>
      </c>
      <c r="C11" s="18" t="s">
        <v>32</v>
      </c>
      <c r="D11" s="18">
        <f>SUMIF('Transaction Log'!C:C,A11, 'Transaction Log'!F:F)</f>
        <v>212</v>
      </c>
      <c r="E11" s="20" cm="1">
        <f t="array" aca="1" ref="E11" ca="1">_FV(B11,"Price")</f>
        <v>2520</v>
      </c>
      <c r="F11" s="19" cm="1">
        <f t="array" ref="F11">_xlfn.XLOOKUP(1, ('Transaction Log'!$C:$C=A11) * ('Transaction Log'!$D:$D="Buy"), 'Transaction Log'!$H:$H, "", 0, -1)</f>
        <v>2371.7555008396944</v>
      </c>
      <c r="G11" s="19">
        <f>ABS(SUMIFS('Transaction Log'!M:M,'Transaction Log'!C:C,A11,'Transaction Log'!D:D,"Buy")-SUMIFS('Transaction Log'!M:M,'Transaction Log'!C:C,A11,'Transaction Log'!D:D,"Sell"))</f>
        <v>61330322.795999996</v>
      </c>
      <c r="H11" s="30">
        <f ca="1">(E11-F11)*(D11*100)</f>
        <v>3142783.382198479</v>
      </c>
      <c r="I11" s="21">
        <f t="shared" ref="I11:I22" ca="1" si="0">(E11/F11)-1</f>
        <v>6.2504123678777779E-2</v>
      </c>
      <c r="J11" s="32"/>
      <c r="K11" s="15" t="s">
        <v>9</v>
      </c>
      <c r="L11" s="36">
        <v>212</v>
      </c>
    </row>
    <row r="12" spans="1:20">
      <c r="A12" s="18" t="str">
        <v>ASII</v>
      </c>
      <c r="B12" s="18" t="e" vm="2">
        <v>#VALUE!</v>
      </c>
      <c r="C12" s="18" t="s">
        <v>33</v>
      </c>
      <c r="D12" s="18">
        <f>SUMIF('Transaction Log'!C:C,A12,'Transaction Log'!F:F)</f>
        <v>139</v>
      </c>
      <c r="E12" s="20" cm="1">
        <f t="array" aca="1" ref="E12" ca="1">_FV(B12,"Price")</f>
        <v>5750</v>
      </c>
      <c r="F12" s="19" cm="1">
        <f t="array" ref="F12">_xlfn.XLOOKUP(1, ('Transaction Log'!$C:$C=A12) * ('Transaction Log'!$D:$D="Buy"), 'Transaction Log'!$H:$H, "", 0, -1)</f>
        <v>5463.8253010303033</v>
      </c>
      <c r="G12" s="19">
        <f>ABS(SUMIFS('Transaction Log'!M:M,'Transaction Log'!C:C,A12,'Transaction Log'!D:D,"Buy")-SUMIFS('Transaction Log'!M:M,'Transaction Log'!C:C,A12,'Transaction Log'!D:D,"Sell"))</f>
        <v>91559643.339000002</v>
      </c>
      <c r="H12" s="30">
        <f t="shared" ref="H12:H22" ca="1" si="1">(E12-F12)*(D12*100)</f>
        <v>3977828.3156787842</v>
      </c>
      <c r="I12" s="21">
        <f t="shared" ca="1" si="0"/>
        <v>5.2376253485947544E-2</v>
      </c>
      <c r="K12" s="15" t="s">
        <v>11</v>
      </c>
      <c r="L12" s="36">
        <v>139</v>
      </c>
    </row>
    <row r="13" spans="1:20">
      <c r="A13" s="18" t="str">
        <v>BBCA</v>
      </c>
      <c r="B13" s="18" t="e" vm="3">
        <v>#VALUE!</v>
      </c>
      <c r="C13" s="18" t="s">
        <v>34</v>
      </c>
      <c r="D13" s="18">
        <f>SUMIF('Transaction Log'!C:C,A13,'Transaction Log'!F:F)</f>
        <v>178</v>
      </c>
      <c r="E13" s="20" cm="1">
        <f t="array" aca="1" ref="E13" ca="1">_FV(B13,"Price")</f>
        <v>6100</v>
      </c>
      <c r="F13" s="19" cm="1">
        <f t="array" ref="F13">_xlfn.XLOOKUP(1, ('Transaction Log'!$C:$C=A13) * ('Transaction Log'!$D:$D="Buy"), 'Transaction Log'!$H:$H, "", 0, -1)</f>
        <v>6579.4226916402122</v>
      </c>
      <c r="G13" s="19">
        <f>ABS(SUMIFS('Transaction Log'!M:M,'Transaction Log'!C:C,A13,'Transaction Log'!D:D,"Buy")-SUMIFS('Transaction Log'!M:M,'Transaction Log'!C:C,A13,'Transaction Log'!D:D,"Sell"))</f>
        <v>125501125.64700001</v>
      </c>
      <c r="H13" s="30">
        <f t="shared" ca="1" si="1"/>
        <v>-8533723.9111957774</v>
      </c>
      <c r="I13" s="21">
        <f t="shared" ca="1" si="0"/>
        <v>-7.2866984553122682E-2</v>
      </c>
      <c r="K13" s="15" t="s">
        <v>10</v>
      </c>
      <c r="L13" s="36">
        <v>178</v>
      </c>
    </row>
    <row r="14" spans="1:20">
      <c r="A14" s="18" t="str">
        <v>BBRI</v>
      </c>
      <c r="B14" s="18" t="e" vm="4">
        <v>#VALUE!</v>
      </c>
      <c r="C14" s="18" t="s">
        <v>34</v>
      </c>
      <c r="D14" s="18">
        <f>SUMIF('Transaction Log'!C:C,A14,'Transaction Log'!F:F)</f>
        <v>155</v>
      </c>
      <c r="E14" s="20" cm="1">
        <f t="array" aca="1" ref="E14" ca="1">_FV(B14,"Price")</f>
        <v>3120</v>
      </c>
      <c r="F14" s="19" cm="1">
        <f t="array" ref="F14">_xlfn.XLOOKUP(1, ('Transaction Log'!$C:$C=A14) * ('Transaction Log'!$D:$D="Buy"), 'Transaction Log'!$H:$H, "", 0, -1)</f>
        <v>3696.1552844392513</v>
      </c>
      <c r="G14" s="19">
        <f>ABS(SUMIFS('Transaction Log'!M:M,'Transaction Log'!C:C,A14,'Transaction Log'!D:D,"Buy")-SUMIFS('Transaction Log'!M:M,'Transaction Log'!C:C,A14,'Transaction Log'!D:D,"Sell"))</f>
        <v>110174556.54599997</v>
      </c>
      <c r="H14" s="30">
        <f t="shared" ca="1" si="1"/>
        <v>-8930406.9088083953</v>
      </c>
      <c r="I14" s="21">
        <f t="shared" ca="1" si="0"/>
        <v>-0.15587962087655105</v>
      </c>
      <c r="K14" s="15" t="s">
        <v>6</v>
      </c>
      <c r="L14" s="36">
        <v>155</v>
      </c>
    </row>
    <row r="15" spans="1:20">
      <c r="A15" s="18" t="str">
        <v>BREN</v>
      </c>
      <c r="B15" s="18" t="e" vm="5">
        <v>#VALUE!</v>
      </c>
      <c r="C15" s="18" t="s">
        <v>35</v>
      </c>
      <c r="D15" s="18">
        <f>SUMIF('Transaction Log'!C:C,A15,'Transaction Log'!F:F)</f>
        <v>101</v>
      </c>
      <c r="E15" s="20" cm="1">
        <f t="array" aca="1" ref="E15" ca="1">_FV(B15,"Price")</f>
        <v>3200</v>
      </c>
      <c r="F15" s="19" cm="1">
        <f t="array" ref="F15">_xlfn.XLOOKUP(1, ('Transaction Log'!$C:$C=A15) * ('Transaction Log'!$D:$D="Buy"), 'Transaction Log'!$H:$H, "", 0, -1)</f>
        <v>4456.4090816546759</v>
      </c>
      <c r="G15" s="19">
        <f>ABS(SUMIFS('Transaction Log'!M:M,'Transaction Log'!C:C,A15,'Transaction Log'!D:D,"Buy")-SUMIFS('Transaction Log'!M:M,'Transaction Log'!C:C,A15,'Transaction Log'!D:D,"Sell"))</f>
        <v>61889401.409999996</v>
      </c>
      <c r="H15" s="30">
        <f t="shared" ca="1" si="1"/>
        <v>-12689731.724712227</v>
      </c>
      <c r="I15" s="21">
        <f t="shared" ca="1" si="0"/>
        <v>-0.28193306732697165</v>
      </c>
      <c r="K15" s="15" t="s">
        <v>18</v>
      </c>
      <c r="L15" s="36">
        <v>101</v>
      </c>
    </row>
    <row r="16" spans="1:20">
      <c r="A16" s="18" t="str">
        <v>GOTO</v>
      </c>
      <c r="B16" s="18" t="e" vm="6">
        <v>#VALUE!</v>
      </c>
      <c r="C16" s="18" t="s">
        <v>36</v>
      </c>
      <c r="D16" s="18">
        <f>SUMIF('Transaction Log'!C:C,A16,'Transaction Log'!F:F)</f>
        <v>56</v>
      </c>
      <c r="E16" s="20" cm="1">
        <f t="array" aca="1" ref="E16" ca="1">_FV(B16,"Price")</f>
        <v>50</v>
      </c>
      <c r="F16" s="19" cm="1">
        <f t="array" ref="F16">_xlfn.XLOOKUP(1, ('Transaction Log'!$C:$C=A16) * ('Transaction Log'!$D:$D="Buy"), 'Transaction Log'!$H:$H, "", 0, -1)</f>
        <v>99.239789507407409</v>
      </c>
      <c r="G16" s="19">
        <f>ABS(SUMIFS('Transaction Log'!M:M,'Transaction Log'!C:C,A16,'Transaction Log'!D:D,"Buy")-SUMIFS('Transaction Log'!M:M,'Transaction Log'!C:C,A16,'Transaction Log'!D:D,"Sell"))</f>
        <v>4482247.4687999999</v>
      </c>
      <c r="H16" s="30">
        <f t="shared" ca="1" si="1"/>
        <v>-275742.82124148146</v>
      </c>
      <c r="I16" s="21">
        <f t="shared" ca="1" si="0"/>
        <v>-0.49616983018421335</v>
      </c>
      <c r="J16" s="28"/>
      <c r="K16" s="15" t="s">
        <v>16</v>
      </c>
      <c r="L16" s="36">
        <v>56</v>
      </c>
    </row>
    <row r="17" spans="1:12">
      <c r="A17" s="18" t="str">
        <v>ICBP</v>
      </c>
      <c r="B17" s="18" t="e" vm="7">
        <v>#VALUE!</v>
      </c>
      <c r="C17" s="18" t="s">
        <v>37</v>
      </c>
      <c r="D17" s="18">
        <f>SUMIF('Transaction Log'!C:C,A17,'Transaction Log'!F:F)</f>
        <v>80</v>
      </c>
      <c r="E17" s="20" cm="1">
        <f t="array" aca="1" ref="E17" ca="1">_FV(B17,"Price")</f>
        <v>6825</v>
      </c>
      <c r="F17" s="19" cm="1">
        <f t="array" ref="F17">_xlfn.XLOOKUP(1, ('Transaction Log'!$C:$C=A17) * ('Transaction Log'!$D:$D="Buy"), 'Transaction Log'!$H:$H, "", 0, -1)</f>
        <v>7221.8293800000001</v>
      </c>
      <c r="G17" s="19">
        <f>ABS(SUMIFS('Transaction Log'!M:M,'Transaction Log'!C:C,A17,'Transaction Log'!D:D,"Buy")-SUMIFS('Transaction Log'!M:M,'Transaction Log'!C:C,A17,'Transaction Log'!D:D,"Sell"))</f>
        <v>71974858.988000005</v>
      </c>
      <c r="H17" s="30">
        <f t="shared" ca="1" si="1"/>
        <v>-3174635.040000001</v>
      </c>
      <c r="I17" s="21">
        <f t="shared" ca="1" si="0"/>
        <v>-5.4948595310070902E-2</v>
      </c>
      <c r="J17" s="28"/>
      <c r="K17" s="15" t="s">
        <v>14</v>
      </c>
      <c r="L17" s="36">
        <v>80</v>
      </c>
    </row>
    <row r="18" spans="1:12">
      <c r="A18" s="18" t="str">
        <v>INDF</v>
      </c>
      <c r="B18" s="18" t="e" vm="8">
        <v>#VALUE!</v>
      </c>
      <c r="C18" s="18" t="s">
        <v>37</v>
      </c>
      <c r="D18" s="18">
        <f>SUMIF('Transaction Log'!C:C,A18,'Transaction Log'!F:F)</f>
        <v>13</v>
      </c>
      <c r="E18" s="20" cm="1">
        <f t="array" aca="1" ref="E18" ca="1">_FV(B18,"Price")</f>
        <v>6825</v>
      </c>
      <c r="F18" s="19" cm="1">
        <f t="array" ref="F18">_xlfn.XLOOKUP(1, ('Transaction Log'!$C:$C=A18) * ('Transaction Log'!$D:$D="Buy"), 'Transaction Log'!$H:$H, "", 0, -1)</f>
        <v>6320.1075325757574</v>
      </c>
      <c r="G18" s="19">
        <f>ABS(SUMIFS('Transaction Log'!M:M,'Transaction Log'!C:C,A18,'Transaction Log'!D:D,"Buy")-SUMIFS('Transaction Log'!M:M,'Transaction Log'!C:C,A18,'Transaction Log'!D:D,"Sell"))</f>
        <v>23497833.682499997</v>
      </c>
      <c r="H18" s="30">
        <f t="shared" ca="1" si="1"/>
        <v>656360.20765151537</v>
      </c>
      <c r="I18" s="21">
        <f t="shared" ca="1" si="0"/>
        <v>7.9886689399171429E-2</v>
      </c>
      <c r="J18" s="28"/>
      <c r="K18" s="15" t="s">
        <v>19</v>
      </c>
      <c r="L18" s="36">
        <v>13</v>
      </c>
    </row>
    <row r="19" spans="1:12">
      <c r="A19" s="18" t="str">
        <v>ITMG</v>
      </c>
      <c r="B19" s="18" t="e" vm="9">
        <v>#VALUE!</v>
      </c>
      <c r="C19" s="18" t="s">
        <v>32</v>
      </c>
      <c r="D19" s="18">
        <f>SUMIF('Transaction Log'!C:C,A19,'Transaction Log'!F:F)</f>
        <v>63</v>
      </c>
      <c r="E19" s="20" cm="1">
        <f t="array" aca="1" ref="E19" ca="1">_FV(B19,"Price")</f>
        <v>23950</v>
      </c>
      <c r="F19" s="19" cm="1">
        <f t="array" ref="F19">_xlfn.XLOOKUP(1, ('Transaction Log'!$C:$C=A19) * ('Transaction Log'!$D:$D="Buy"), 'Transaction Log'!$H:$H, "", 0, -1)</f>
        <v>25354.748950000001</v>
      </c>
      <c r="G19" s="19">
        <f>ABS(SUMIFS('Transaction Log'!M:M,'Transaction Log'!C:C,A19,'Transaction Log'!D:D,"Buy")-SUMIFS('Transaction Log'!M:M,'Transaction Log'!C:C,A19,'Transaction Log'!D:D,"Sell"))</f>
        <v>162363242.65000001</v>
      </c>
      <c r="H19" s="30">
        <f t="shared" ca="1" si="1"/>
        <v>-8849918.3850000072</v>
      </c>
      <c r="I19" s="21">
        <f t="shared" ca="1" si="0"/>
        <v>-5.5403780679122105E-2</v>
      </c>
      <c r="J19" s="28"/>
      <c r="K19" s="15" t="s">
        <v>13</v>
      </c>
      <c r="L19" s="36">
        <v>63</v>
      </c>
    </row>
    <row r="20" spans="1:12">
      <c r="A20" s="18" t="str">
        <v>TLKM</v>
      </c>
      <c r="B20" s="18" t="e" vm="10">
        <v>#VALUE!</v>
      </c>
      <c r="C20" s="18" t="s">
        <v>35</v>
      </c>
      <c r="D20" s="18">
        <f>SUMIF('Transaction Log'!C:C,A20,'Transaction Log'!F:F)</f>
        <v>101</v>
      </c>
      <c r="E20" s="20" cm="1">
        <f t="array" aca="1" ref="E20" ca="1">_FV(B20,"Price")</f>
        <v>2960</v>
      </c>
      <c r="F20" s="19" cm="1">
        <f t="array" ref="F20">_xlfn.XLOOKUP(1, ('Transaction Log'!$C:$C=A20) * ('Transaction Log'!$D:$D="Buy"), 'Transaction Log'!$H:$H, "", 0, -1)</f>
        <v>3207.5675117999999</v>
      </c>
      <c r="G20" s="19">
        <f>ABS(SUMIFS('Transaction Log'!M:M,'Transaction Log'!C:C,A20,'Transaction Log'!D:D,"Buy")-SUMIFS('Transaction Log'!M:M,'Transaction Log'!C:C,A20,'Transaction Log'!D:D,"Sell"))</f>
        <v>55231556.625</v>
      </c>
      <c r="H20" s="30">
        <f t="shared" ca="1" si="1"/>
        <v>-2500431.869179999</v>
      </c>
      <c r="I20" s="21">
        <f t="shared" ca="1" si="0"/>
        <v>-7.7182323018688881E-2</v>
      </c>
      <c r="J20" s="28"/>
      <c r="K20" s="15" t="s">
        <v>8</v>
      </c>
      <c r="L20" s="36">
        <v>101</v>
      </c>
    </row>
    <row r="21" spans="1:12">
      <c r="A21" s="18" t="str">
        <v>UNTR</v>
      </c>
      <c r="B21" s="18" t="e" vm="11">
        <v>#VALUE!</v>
      </c>
      <c r="C21" s="18" t="s">
        <v>33</v>
      </c>
      <c r="D21" s="18">
        <f>SUMIF('Transaction Log'!C:C,A21,'Transaction Log'!F:F)</f>
        <v>48</v>
      </c>
      <c r="E21" s="20" cm="1">
        <f t="array" aca="1" ref="E21" ca="1">_FV(B21,"Price")</f>
        <v>26900</v>
      </c>
      <c r="F21" s="19" cm="1">
        <f t="array" ref="F21">_xlfn.XLOOKUP(1, ('Transaction Log'!$C:$C=A21) * ('Transaction Log'!$D:$D="Buy"), 'Transaction Log'!$H:$H, "", 0, -1)</f>
        <v>25053.499647411765</v>
      </c>
      <c r="G21" s="19">
        <f>ABS(SUMIFS('Transaction Log'!M:M,'Transaction Log'!C:C,A21,'Transaction Log'!D:D,"Buy")-SUMIFS('Transaction Log'!M:M,'Transaction Log'!C:C,A21,'Transaction Log'!D:D,"Sell"))</f>
        <v>179111554.678</v>
      </c>
      <c r="H21" s="30">
        <f t="shared" ca="1" si="1"/>
        <v>8863201.6924235262</v>
      </c>
      <c r="I21" s="21">
        <f t="shared" ca="1" si="0"/>
        <v>7.3702292237603384E-2</v>
      </c>
      <c r="J21" s="28"/>
      <c r="K21" s="15" t="s">
        <v>20</v>
      </c>
      <c r="L21" s="36">
        <v>48</v>
      </c>
    </row>
    <row r="22" spans="1:12">
      <c r="A22" s="23" t="str">
        <v>UNVR</v>
      </c>
      <c r="B22" s="23" t="e" vm="12">
        <v>#VALUE!</v>
      </c>
      <c r="C22" s="23" t="s">
        <v>37</v>
      </c>
      <c r="D22" s="23">
        <f>SUMIF('Transaction Log'!C:C,A22,'Transaction Log'!F:F)</f>
        <v>47</v>
      </c>
      <c r="E22" s="24" cm="1">
        <f t="array" aca="1" ref="E22" ca="1">_FV(B22,"Price")</f>
        <v>1785</v>
      </c>
      <c r="F22" s="25" cm="1">
        <f t="array" ref="F22">_xlfn.XLOOKUP(1, ('Transaction Log'!$C:$C=A22) * ('Transaction Log'!$D:$D="Buy"), 'Transaction Log'!$H:$H, "", 0, -1)</f>
        <v>1874.6279789423077</v>
      </c>
      <c r="G22" s="25">
        <f>ABS(SUMIFS('Transaction Log'!M:M,'Transaction Log'!C:C,A22,'Transaction Log'!D:D,"Buy")-SUMIFS('Transaction Log'!M:M,'Transaction Log'!C:C,A22,'Transaction Log'!D:D,"Sell"))</f>
        <v>8845565.4904999994</v>
      </c>
      <c r="H22" s="31">
        <f t="shared" ca="1" si="1"/>
        <v>-421251.50102884602</v>
      </c>
      <c r="I22" s="21">
        <f t="shared" ca="1" si="0"/>
        <v>-4.7811075023470595E-2</v>
      </c>
      <c r="J22" s="28"/>
      <c r="K22" s="15" t="s">
        <v>21</v>
      </c>
      <c r="L22" s="36">
        <v>47</v>
      </c>
    </row>
    <row r="23" spans="1:12">
      <c r="A23" s="26"/>
      <c r="B23" s="18"/>
      <c r="C23" s="18"/>
      <c r="D23" s="18">
        <f>SUM(D11:D22)</f>
        <v>1193</v>
      </c>
      <c r="E23" s="18"/>
      <c r="F23" s="18"/>
      <c r="G23" s="19">
        <f>SUM(G11:G22)</f>
        <v>955961909.32079983</v>
      </c>
      <c r="H23" s="30">
        <f ca="1">SUM(H11:H22)</f>
        <v>-28735668.563214436</v>
      </c>
      <c r="I23" s="18"/>
      <c r="J23" s="29"/>
      <c r="K23" s="15" t="s">
        <v>73</v>
      </c>
      <c r="L23" s="36">
        <v>1193</v>
      </c>
    </row>
    <row r="28" spans="1:12">
      <c r="B28" s="33">
        <v>0.06</v>
      </c>
      <c r="C28" s="34">
        <v>7.0000000000000007E-2</v>
      </c>
      <c r="D28" s="33">
        <v>0.08</v>
      </c>
      <c r="E28" s="34">
        <v>0.09</v>
      </c>
      <c r="F28" s="33">
        <v>9.5000000000000001E-2</v>
      </c>
      <c r="G28" s="34">
        <v>0.1</v>
      </c>
      <c r="H28" s="34">
        <v>0.11</v>
      </c>
      <c r="I28" s="34">
        <v>0.12</v>
      </c>
    </row>
    <row r="29" spans="1:12">
      <c r="B29" s="19">
        <f>G11*$B$28</f>
        <v>3679819.3677599998</v>
      </c>
      <c r="C29" s="19">
        <f>G11*$C$28</f>
        <v>4293122.5957200006</v>
      </c>
      <c r="D29" s="19">
        <f>G11*$D$28</f>
        <v>4906425.8236799994</v>
      </c>
      <c r="E29" s="19">
        <f>G11*$E$28</f>
        <v>5519729.0516399993</v>
      </c>
      <c r="F29" s="19">
        <f>G11*$F$28</f>
        <v>5826380.6656200001</v>
      </c>
      <c r="G29" s="19">
        <f>G11*$G$28</f>
        <v>6133032.2796</v>
      </c>
      <c r="H29" s="19">
        <f>G11*$H$28</f>
        <v>6746335.5075599998</v>
      </c>
      <c r="I29" s="19">
        <f>G11*$I$28</f>
        <v>7359638.7355199996</v>
      </c>
    </row>
    <row r="30" spans="1:12">
      <c r="B30" s="19">
        <f>G12*$B$28</f>
        <v>5493578.6003400004</v>
      </c>
      <c r="C30" s="19">
        <f>G12*$C$28</f>
        <v>6409175.0337300003</v>
      </c>
      <c r="D30" s="19">
        <f>G12*$D$28</f>
        <v>7324771.4671200002</v>
      </c>
      <c r="E30" s="19">
        <f>G12*$E$28</f>
        <v>8240367.9005100001</v>
      </c>
      <c r="F30" s="19">
        <f>G12*$F$28</f>
        <v>8698166.1172049996</v>
      </c>
      <c r="G30" s="19">
        <f>G12*$G$28</f>
        <v>9155964.3339000009</v>
      </c>
      <c r="H30" s="19">
        <f>G12*$H$28</f>
        <v>10071560.76729</v>
      </c>
      <c r="I30" s="19">
        <f>G12*$I$28</f>
        <v>10987157.200680001</v>
      </c>
    </row>
    <row r="31" spans="1:12">
      <c r="B31" s="19">
        <f>G13*$B$28</f>
        <v>7530067.5388200004</v>
      </c>
      <c r="C31" s="19">
        <f>G13*$C$28</f>
        <v>8785078.7952900026</v>
      </c>
      <c r="D31" s="19">
        <f>G13*$D$28</f>
        <v>10040090.051760001</v>
      </c>
      <c r="E31" s="19">
        <f>G13*$E$28</f>
        <v>11295101.308230001</v>
      </c>
      <c r="F31" s="19">
        <f>G13*$F$28</f>
        <v>11922606.936465001</v>
      </c>
      <c r="G31" s="19">
        <f>G13*$G$28</f>
        <v>12550112.564700002</v>
      </c>
      <c r="H31" s="19">
        <f>G13*$H$28</f>
        <v>13805123.821170002</v>
      </c>
      <c r="I31" s="19">
        <f>G13*$I$28</f>
        <v>15060135.077640001</v>
      </c>
    </row>
    <row r="32" spans="1:12">
      <c r="B32" s="19">
        <f>G14*$B$28</f>
        <v>6610473.3927599983</v>
      </c>
      <c r="C32" s="19">
        <f>G14*$C$28</f>
        <v>7712218.9582199985</v>
      </c>
      <c r="D32" s="19">
        <f>G14*$D$28</f>
        <v>8813964.5236799978</v>
      </c>
      <c r="E32" s="19">
        <f>G14*$E$28</f>
        <v>9915710.089139998</v>
      </c>
      <c r="F32" s="19">
        <f>G14*$F$28</f>
        <v>10466582.871869998</v>
      </c>
      <c r="G32" s="19">
        <f>G14*$G$28</f>
        <v>11017455.654599998</v>
      </c>
      <c r="H32" s="19">
        <f>G14*$H$28</f>
        <v>12119201.220059996</v>
      </c>
      <c r="I32" s="19">
        <f>G14*$I$28</f>
        <v>13220946.785519997</v>
      </c>
    </row>
    <row r="33" spans="2:9">
      <c r="B33" s="19">
        <f>G15*$B$28</f>
        <v>3713364.0845999997</v>
      </c>
      <c r="C33" s="19">
        <f>G15*$C$28</f>
        <v>4332258.0987</v>
      </c>
      <c r="D33" s="19">
        <f>G15*$D$28</f>
        <v>4951152.1128000002</v>
      </c>
      <c r="E33" s="19">
        <f>G15*$E$28</f>
        <v>5570046.1268999996</v>
      </c>
      <c r="F33" s="19">
        <f>G15*$F$28</f>
        <v>5879493.1339499997</v>
      </c>
      <c r="G33" s="19">
        <f>G15*$G$28</f>
        <v>6188940.1409999998</v>
      </c>
      <c r="H33" s="19">
        <f>G15*$H$28</f>
        <v>6807834.1551000001</v>
      </c>
      <c r="I33" s="19">
        <f>G15*$I$28</f>
        <v>7426728.1691999994</v>
      </c>
    </row>
    <row r="34" spans="2:9">
      <c r="B34" s="19">
        <f>G16*$B$28</f>
        <v>268934.84812799998</v>
      </c>
      <c r="C34" s="19">
        <f>G16*$C$28</f>
        <v>313757.32281600003</v>
      </c>
      <c r="D34" s="19">
        <f>G16*$D$28</f>
        <v>358579.79750400002</v>
      </c>
      <c r="E34" s="19">
        <f>G16*$E$28</f>
        <v>403402.272192</v>
      </c>
      <c r="F34" s="19">
        <f>G16*$F$28</f>
        <v>425813.50953599997</v>
      </c>
      <c r="G34" s="19">
        <f>G16*$G$28</f>
        <v>448224.74687999999</v>
      </c>
      <c r="H34" s="19">
        <f>G16*$H$28</f>
        <v>493047.22156799998</v>
      </c>
      <c r="I34" s="19">
        <f>G16*$I$28</f>
        <v>537869.69625599997</v>
      </c>
    </row>
    <row r="35" spans="2:9">
      <c r="B35" s="19">
        <f>G17*$B$28</f>
        <v>4318491.5392800001</v>
      </c>
      <c r="C35" s="19">
        <f>G17*$C$28</f>
        <v>5038240.1291600009</v>
      </c>
      <c r="D35" s="19">
        <f>G17*$D$28</f>
        <v>5757988.7190400008</v>
      </c>
      <c r="E35" s="19">
        <f>G17*$E$28</f>
        <v>6477737.3089200007</v>
      </c>
      <c r="F35" s="19">
        <f>G17*$F$28</f>
        <v>6837611.6038600001</v>
      </c>
      <c r="G35" s="19">
        <f>G17*$G$28</f>
        <v>7197485.8988000005</v>
      </c>
      <c r="H35" s="19">
        <f>G17*$H$28</f>
        <v>7917234.4886800004</v>
      </c>
      <c r="I35" s="19">
        <f>G17*$I$28</f>
        <v>8636983.0785600003</v>
      </c>
    </row>
    <row r="36" spans="2:9">
      <c r="B36" s="19">
        <f>G18*$B$28</f>
        <v>1409870.0209499998</v>
      </c>
      <c r="C36" s="19">
        <f>G18*$C$28</f>
        <v>1644848.3577749999</v>
      </c>
      <c r="D36" s="19">
        <f>G18*$D$28</f>
        <v>1879826.6945999998</v>
      </c>
      <c r="E36" s="19">
        <f>G18*$E$28</f>
        <v>2114805.0314249997</v>
      </c>
      <c r="F36" s="19">
        <f>G18*$F$28</f>
        <v>2232294.1998374998</v>
      </c>
      <c r="G36" s="19">
        <f>G18*$G$28</f>
        <v>2349783.3682499998</v>
      </c>
      <c r="H36" s="19">
        <f>G18*$H$28</f>
        <v>2584761.7050749999</v>
      </c>
      <c r="I36" s="19">
        <f>G18*$I$28</f>
        <v>2819740.0418999996</v>
      </c>
    </row>
    <row r="37" spans="2:9">
      <c r="B37" s="19">
        <f>G19*$B$28</f>
        <v>9741794.5590000004</v>
      </c>
      <c r="C37" s="19">
        <f>G19*$C$28</f>
        <v>11365426.985500002</v>
      </c>
      <c r="D37" s="19">
        <f>G19*$D$28</f>
        <v>12989059.412</v>
      </c>
      <c r="E37" s="19">
        <f>G19*$E$28</f>
        <v>14612691.838500001</v>
      </c>
      <c r="F37" s="19">
        <f>G19*$F$28</f>
        <v>15424508.051750001</v>
      </c>
      <c r="G37" s="19">
        <f>G19*$G$28</f>
        <v>16236324.265000001</v>
      </c>
      <c r="H37" s="19">
        <f>G19*$H$28</f>
        <v>17859956.691500001</v>
      </c>
      <c r="I37" s="19">
        <f>G19*$I$28</f>
        <v>19483589.118000001</v>
      </c>
    </row>
    <row r="38" spans="2:9">
      <c r="B38" s="19">
        <f>G20*$B$28</f>
        <v>3313893.3975</v>
      </c>
      <c r="C38" s="19">
        <f>G20*$C$28</f>
        <v>3866208.9637500006</v>
      </c>
      <c r="D38" s="19">
        <f>G20*$D$28</f>
        <v>4418524.53</v>
      </c>
      <c r="E38" s="19">
        <f>G20*$E$28</f>
        <v>4970840.0962499995</v>
      </c>
      <c r="F38" s="19">
        <f>G20*$F$28</f>
        <v>5246997.8793750005</v>
      </c>
      <c r="G38" s="19">
        <f>G20*$G$28</f>
        <v>5523155.6625000006</v>
      </c>
      <c r="H38" s="19">
        <f>G20*$H$28</f>
        <v>6075471.2287499998</v>
      </c>
      <c r="I38" s="19">
        <f>G20*$I$28</f>
        <v>6627786.7949999999</v>
      </c>
    </row>
    <row r="39" spans="2:9">
      <c r="B39" s="19">
        <f>G21*$B$28</f>
        <v>10746693.280679999</v>
      </c>
      <c r="C39" s="19">
        <f>G21*$C$28</f>
        <v>12537808.827460002</v>
      </c>
      <c r="D39" s="19">
        <f>G21*$D$28</f>
        <v>14328924.37424</v>
      </c>
      <c r="E39" s="19">
        <f>G21*$E$28</f>
        <v>16120039.921019999</v>
      </c>
      <c r="F39" s="19">
        <f>G21*$F$28</f>
        <v>17015597.69441</v>
      </c>
      <c r="G39" s="19">
        <f>G21*$G$28</f>
        <v>17911155.467800003</v>
      </c>
      <c r="H39" s="19">
        <f>G21*$H$28</f>
        <v>19702271.01458</v>
      </c>
      <c r="I39" s="19">
        <f>G21*$I$28</f>
        <v>21493386.561359998</v>
      </c>
    </row>
    <row r="40" spans="2:9">
      <c r="B40" s="19">
        <f>G22*$B$28</f>
        <v>530733.9294299999</v>
      </c>
      <c r="C40" s="19">
        <f>G22*$C$28</f>
        <v>619189.58433500002</v>
      </c>
      <c r="D40" s="19">
        <f>G22*$D$28</f>
        <v>707645.23923999991</v>
      </c>
      <c r="E40" s="19">
        <f>G22*$E$28</f>
        <v>796100.89414499991</v>
      </c>
      <c r="F40" s="19">
        <f>G22*$F$28</f>
        <v>840328.72159749991</v>
      </c>
      <c r="G40" s="19">
        <f>G22*$G$28</f>
        <v>884556.54905000003</v>
      </c>
      <c r="H40" s="19">
        <f>G22*$H$28</f>
        <v>973012.20395499992</v>
      </c>
      <c r="I40" s="19">
        <f>G22*$I$28</f>
        <v>1061467.8588599998</v>
      </c>
    </row>
    <row r="46" spans="2:9">
      <c r="D4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Dashboard</vt:lpstr>
      <vt:lpstr>Transaction Log</vt:lpstr>
      <vt:lpstr>Simulation</vt:lpstr>
      <vt:lpstr>Database </vt:lpstr>
      <vt:lpstr>Action</vt:lpstr>
      <vt:lpstr>Amount</vt:lpstr>
      <vt:lpstr>broker_fee</vt:lpstr>
      <vt:lpstr>Cashflow</vt:lpstr>
      <vt:lpstr>Date</vt:lpstr>
      <vt:lpstr>Dividend_per_Share</vt:lpstr>
      <vt:lpstr>exchange_fee</vt:lpstr>
      <vt:lpstr>Lot</vt:lpstr>
      <vt:lpstr>Net_Amount</vt:lpstr>
      <vt:lpstr>Position_Change</vt:lpstr>
      <vt:lpstr>Price</vt:lpstr>
      <vt:lpstr>Stock_Tickers</vt:lpstr>
      <vt:lpstr>Total_Fee</vt:lpstr>
      <vt:lpstr>Transaction_ID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Kirana</dc:creator>
  <cp:lastModifiedBy>Kirana</cp:lastModifiedBy>
  <dcterms:created xsi:type="dcterms:W3CDTF">2026-05-08T10:08:58Z</dcterms:created>
  <dcterms:modified xsi:type="dcterms:W3CDTF">2026-05-18T06:39:46Z</dcterms:modified>
</cp:coreProperties>
</file>